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2386DB85-C9D2-42F1-B211-356923862F39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RAW_DATA_DO_NOT_EDIT" sheetId="1" r:id="rId1"/>
    <sheet name="Detail2" sheetId="16" r:id="rId2"/>
    <sheet name="PIVOT TABLE" sheetId="14" r:id="rId3"/>
    <sheet name="CLEANED DATASET" sheetId="13" r:id="rId4"/>
    <sheet name="QUESTIONS" sheetId="2" r:id="rId5"/>
    <sheet name="DATA_DICTIONARY" sheetId="3" r:id="rId6"/>
    <sheet name="ANSWER_KEY_HIDDEN" sheetId="4" state="hidden" r:id="rId7"/>
    <sheet name="ANSWER_SUMMARY_HIDDEN" sheetId="5" state="hidden" r:id="rId8"/>
    <sheet name="ANSWER_MONTHLY_HIDDEN" sheetId="6" state="hidden" r:id="rId9"/>
    <sheet name="ANSWER_QUARTERLY_HIDDEN" sheetId="7" state="hidden" r:id="rId10"/>
    <sheet name="ANSWER_CUSTOMERS_HIDDEN" sheetId="8" state="hidden" r:id="rId11"/>
    <sheet name="ANSWER_PRODUCTS_HIDDEN" sheetId="9" state="hidden" r:id="rId12"/>
    <sheet name="ANSWER_CATEGORIES_HIDDEN" sheetId="10" state="hidden" r:id="rId13"/>
    <sheet name="ANSWER_SALESPEOPLE_HIDDEN" sheetId="11" state="hidden" r:id="rId14"/>
    <sheet name="ANSWER_STATES_HIDDEN" sheetId="12" state="hidden" r:id="rId15"/>
  </sheets>
  <definedNames>
    <definedName name="_xlnm._FilterDatabase" localSheetId="3" hidden="1">'CLEANED DATASET'!$R$1:$R$261</definedName>
    <definedName name="_xlnm._FilterDatabase" localSheetId="5" hidden="1">DATA_DICTIONARY!$A$1:$C$17</definedName>
    <definedName name="_xlnm._FilterDatabase" localSheetId="4" hidden="1">QUESTIONS!$A$1:$B$49</definedName>
    <definedName name="_xlnm._FilterDatabase" localSheetId="0" hidden="1">RAW_DATA_DO_NOT_EDIT!$A$1:$P$281</definedName>
  </definedNames>
  <calcPr calcId="191029"/>
  <pivotCaches>
    <pivotCache cacheId="113" r:id="rId16"/>
    <pivotCache cacheId="96" r:id="rId17"/>
    <pivotCache cacheId="100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5" i="14" l="1"/>
  <c r="F97" i="14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" i="13"/>
</calcChain>
</file>

<file path=xl/sharedStrings.xml><?xml version="1.0" encoding="utf-8"?>
<sst xmlns="http://schemas.openxmlformats.org/spreadsheetml/2006/main" count="10208" uniqueCount="656">
  <si>
    <t>Transaction_ID</t>
  </si>
  <si>
    <t>Transaction_Date</t>
  </si>
  <si>
    <t>Customer</t>
  </si>
  <si>
    <t>Customer_Sector</t>
  </si>
  <si>
    <t>City</t>
  </si>
  <si>
    <t>State</t>
  </si>
  <si>
    <t>Product</t>
  </si>
  <si>
    <t>Category</t>
  </si>
  <si>
    <t>Subcategory</t>
  </si>
  <si>
    <t>Quantity</t>
  </si>
  <si>
    <t>Unit_Price_NGN</t>
  </si>
  <si>
    <t>Discount_Rate</t>
  </si>
  <si>
    <t>Net_Sales_NGN</t>
  </si>
  <si>
    <t>Payment_Method</t>
  </si>
  <si>
    <t>Salesperson</t>
  </si>
  <si>
    <t>Status</t>
  </si>
  <si>
    <t xml:space="preserve"> TRX-10121 </t>
  </si>
  <si>
    <t>Riverside Drilling Services</t>
  </si>
  <si>
    <t>Oil &amp; Gas Services</t>
  </si>
  <si>
    <t>Port Harcourt</t>
  </si>
  <si>
    <t>Rivers</t>
  </si>
  <si>
    <t>Hard Hat</t>
  </si>
  <si>
    <t>HSE</t>
  </si>
  <si>
    <t>PPE</t>
  </si>
  <si>
    <t xml:space="preserve">purchase order </t>
  </si>
  <si>
    <t>Victor Nwosu</t>
  </si>
  <si>
    <t>Cancelled</t>
  </si>
  <si>
    <t>TRX-10025</t>
  </si>
  <si>
    <t>Bonny Offshore Support</t>
  </si>
  <si>
    <t>Marine</t>
  </si>
  <si>
    <t>Bonny</t>
  </si>
  <si>
    <t>pressure gauge</t>
  </si>
  <si>
    <t>Equipment</t>
  </si>
  <si>
    <t>Instrumentation</t>
  </si>
  <si>
    <t>0</t>
  </si>
  <si>
    <t>Card</t>
  </si>
  <si>
    <t>Ibrahim Musa</t>
  </si>
  <si>
    <t>Canceled</t>
  </si>
  <si>
    <t>TRX-10072</t>
  </si>
  <si>
    <t>WestPoint Procurement</t>
  </si>
  <si>
    <t>Procurement</t>
  </si>
  <si>
    <t>LAGOS</t>
  </si>
  <si>
    <t>Lagos</t>
  </si>
  <si>
    <t>Industial Valve</t>
  </si>
  <si>
    <t>Valve</t>
  </si>
  <si>
    <t>3,024,000</t>
  </si>
  <si>
    <t>Favour James</t>
  </si>
  <si>
    <t xml:space="preserve"> Complete </t>
  </si>
  <si>
    <t>TRX-10161</t>
  </si>
  <si>
    <t>Seplat Energy</t>
  </si>
  <si>
    <t>Energy</t>
  </si>
  <si>
    <t>WELDING MACHINE</t>
  </si>
  <si>
    <t>Fabrication</t>
  </si>
  <si>
    <t>Cash</t>
  </si>
  <si>
    <t>COMPLETED</t>
  </si>
  <si>
    <t>TRX-10174</t>
  </si>
  <si>
    <t>Deepwater Technical Ltd</t>
  </si>
  <si>
    <t>Submersible Pump</t>
  </si>
  <si>
    <t>Pump</t>
  </si>
  <si>
    <t>2,880,000</t>
  </si>
  <si>
    <t>David Eze</t>
  </si>
  <si>
    <t>Completed</t>
  </si>
  <si>
    <t>TRX-10126</t>
  </si>
  <si>
    <t>Atlantic Well Services</t>
  </si>
  <si>
    <t>Control Panel</t>
  </si>
  <si>
    <t>Electrical</t>
  </si>
  <si>
    <t xml:space="preserve"> TRX-10258 </t>
  </si>
  <si>
    <t>Coastal Industrial Works</t>
  </si>
  <si>
    <t>Industrial</t>
  </si>
  <si>
    <t>Uyo</t>
  </si>
  <si>
    <t>Akwa Ibom</t>
  </si>
  <si>
    <t>Flow Meter</t>
  </si>
  <si>
    <t>TRX-10236</t>
  </si>
  <si>
    <t>RIVERS</t>
  </si>
  <si>
    <t>Pressure Gauge</t>
  </si>
  <si>
    <t>Amaka Okafor</t>
  </si>
  <si>
    <t>TRX-10186</t>
  </si>
  <si>
    <t xml:space="preserve"> Lagos </t>
  </si>
  <si>
    <t>328,000</t>
  </si>
  <si>
    <t>P.O.</t>
  </si>
  <si>
    <t>Return</t>
  </si>
  <si>
    <t>TRX-10037</t>
  </si>
  <si>
    <t>Delta Marine Logistics</t>
  </si>
  <si>
    <t>Logistics</t>
  </si>
  <si>
    <t>Warri</t>
  </si>
  <si>
    <t>delta</t>
  </si>
  <si>
    <t>Bank Transfer</t>
  </si>
  <si>
    <t>Pending</t>
  </si>
  <si>
    <t>TRX-10073</t>
  </si>
  <si>
    <t>GreenDelta Environmental</t>
  </si>
  <si>
    <t>Environmental</t>
  </si>
  <si>
    <t>Gas Detecter</t>
  </si>
  <si>
    <t>Safety</t>
  </si>
  <si>
    <t>172,000</t>
  </si>
  <si>
    <t>Purchase Order</t>
  </si>
  <si>
    <t>Blessing George</t>
  </si>
  <si>
    <t>TRX-10030</t>
  </si>
  <si>
    <t>lagos</t>
  </si>
  <si>
    <t>TRX-10224</t>
  </si>
  <si>
    <t xml:space="preserve"> Delta </t>
  </si>
  <si>
    <t xml:space="preserve">Hse Inspection </t>
  </si>
  <si>
    <t>Service</t>
  </si>
  <si>
    <t>Inspection</t>
  </si>
  <si>
    <t>BANK TRANSFER</t>
  </si>
  <si>
    <t>cancelled</t>
  </si>
  <si>
    <t>TRX-10217</t>
  </si>
  <si>
    <t>Niger Basin Resources</t>
  </si>
  <si>
    <t>Abuja</t>
  </si>
  <si>
    <t>FCT</t>
  </si>
  <si>
    <t>Ball Valve</t>
  </si>
  <si>
    <t>532,000</t>
  </si>
  <si>
    <t>Done</t>
  </si>
  <si>
    <t>TRX-10032</t>
  </si>
  <si>
    <t>Gulfline Marine Services</t>
  </si>
  <si>
    <t>Delta</t>
  </si>
  <si>
    <t>industrial pump</t>
  </si>
  <si>
    <t>TRX-10228</t>
  </si>
  <si>
    <t>Bayelsa Industrial Supplies</t>
  </si>
  <si>
    <t>YENAGOA</t>
  </si>
  <si>
    <t>bayelsa</t>
  </si>
  <si>
    <t>TRX-10091</t>
  </si>
  <si>
    <t>PENDING</t>
  </si>
  <si>
    <t>TRX-10031</t>
  </si>
  <si>
    <t>Yenagoa</t>
  </si>
  <si>
    <t>BAYELSA</t>
  </si>
  <si>
    <t>Welding Machine</t>
  </si>
  <si>
    <t>Purchase order</t>
  </si>
  <si>
    <t>TRX-10167</t>
  </si>
  <si>
    <t>Gas Detector</t>
  </si>
  <si>
    <t>TRX-10021</t>
  </si>
  <si>
    <t>Niger Delta Engineering</t>
  </si>
  <si>
    <t>Engineering</t>
  </si>
  <si>
    <t>PORT HARCOURT</t>
  </si>
  <si>
    <t xml:space="preserve"> Rivers </t>
  </si>
  <si>
    <t>TRX-10213</t>
  </si>
  <si>
    <t>Prime Energy Projects</t>
  </si>
  <si>
    <t>TRX-10168</t>
  </si>
  <si>
    <t>Welding Electrodes</t>
  </si>
  <si>
    <t>Consumables</t>
  </si>
  <si>
    <t>26,000</t>
  </si>
  <si>
    <t>PO</t>
  </si>
  <si>
    <t>CANCELLED</t>
  </si>
  <si>
    <t>TRX-10137</t>
  </si>
  <si>
    <t>port harcourt</t>
  </si>
  <si>
    <t>Industrial Valve</t>
  </si>
  <si>
    <t>Daniel Udo</t>
  </si>
  <si>
    <t>TRX-10081</t>
  </si>
  <si>
    <t>Eagle Field Solutions</t>
  </si>
  <si>
    <t>Owerri</t>
  </si>
  <si>
    <t>Imo</t>
  </si>
  <si>
    <t>returned</t>
  </si>
  <si>
    <t>TRX-10043</t>
  </si>
  <si>
    <t>DELTA</t>
  </si>
  <si>
    <t>TRX-10053</t>
  </si>
  <si>
    <t>Trans-Amadi Fabrication</t>
  </si>
  <si>
    <t>GENERATOR SERVICE</t>
  </si>
  <si>
    <t>Maintenance</t>
  </si>
  <si>
    <t>-99999999</t>
  </si>
  <si>
    <t>TRX-10020</t>
  </si>
  <si>
    <t>Creekside Mechanical</t>
  </si>
  <si>
    <t>Safety Harness</t>
  </si>
  <si>
    <t>TRX-10255</t>
  </si>
  <si>
    <t xml:space="preserve"> Port Harcourt </t>
  </si>
  <si>
    <t>Bank transfer</t>
  </si>
  <si>
    <t>RETURNED</t>
  </si>
  <si>
    <t>TRX-10201</t>
  </si>
  <si>
    <t>79,000</t>
  </si>
  <si>
    <t>TRX-10086</t>
  </si>
  <si>
    <t>WARRI</t>
  </si>
  <si>
    <t>Safety Boots</t>
  </si>
  <si>
    <t>41,000</t>
  </si>
  <si>
    <t>Transfer</t>
  </si>
  <si>
    <t>TRX-10175</t>
  </si>
  <si>
    <t>TRX-10143</t>
  </si>
  <si>
    <t xml:space="preserve"> Warri </t>
  </si>
  <si>
    <t>Chioma Obi</t>
  </si>
  <si>
    <t>TRX-10010</t>
  </si>
  <si>
    <t xml:space="preserve"> Yenagoa </t>
  </si>
  <si>
    <t>Equipment Calibration</t>
  </si>
  <si>
    <t>Calibration</t>
  </si>
  <si>
    <t>1,224,000</t>
  </si>
  <si>
    <t>TRX-10216</t>
  </si>
  <si>
    <t>TRX-10172</t>
  </si>
  <si>
    <t>Returned</t>
  </si>
  <si>
    <t>TRX-10248</t>
  </si>
  <si>
    <t>Generator servicing</t>
  </si>
  <si>
    <t>TRX-10006</t>
  </si>
  <si>
    <t>warri</t>
  </si>
  <si>
    <t>TRX-10096</t>
  </si>
  <si>
    <t>TRX-10237</t>
  </si>
  <si>
    <t>Vertex Facilities Ltd</t>
  </si>
  <si>
    <t>Facilities</t>
  </si>
  <si>
    <t>TRX-10158</t>
  </si>
  <si>
    <t>welding machine</t>
  </si>
  <si>
    <t>pending</t>
  </si>
  <si>
    <t>TRX-10108</t>
  </si>
  <si>
    <t>TRX-10182</t>
  </si>
  <si>
    <t>319,000</t>
  </si>
  <si>
    <t xml:space="preserve"> Pending </t>
  </si>
  <si>
    <t>TRX-10194</t>
  </si>
  <si>
    <t>TRX-10123</t>
  </si>
  <si>
    <t>492,000</t>
  </si>
  <si>
    <t>TRX-10152</t>
  </si>
  <si>
    <t>rivers</t>
  </si>
  <si>
    <t>Pump Maintenance</t>
  </si>
  <si>
    <t>TRX-10101</t>
  </si>
  <si>
    <t>TRX-10054</t>
  </si>
  <si>
    <t>TRX-10166</t>
  </si>
  <si>
    <t>Cable Tray</t>
  </si>
  <si>
    <t>Materials</t>
  </si>
  <si>
    <t>TRX-10133</t>
  </si>
  <si>
    <t>TRX-10033</t>
  </si>
  <si>
    <t xml:space="preserve"> TRX-10251 </t>
  </si>
  <si>
    <t>TRX-10128</t>
  </si>
  <si>
    <t>SouthSouth Inspection Co</t>
  </si>
  <si>
    <t>2,338,000</t>
  </si>
  <si>
    <t>TRX-10083</t>
  </si>
  <si>
    <t>TRX-10022</t>
  </si>
  <si>
    <t>Pressure Gage</t>
  </si>
  <si>
    <t>TRX-10062</t>
  </si>
  <si>
    <t>TRX-10202</t>
  </si>
  <si>
    <t>TRX-10038</t>
  </si>
  <si>
    <t>TRX-10240</t>
  </si>
  <si>
    <t>TRX-10056</t>
  </si>
  <si>
    <t>yenagoa</t>
  </si>
  <si>
    <t>Bayelsa</t>
  </si>
  <si>
    <t>TRX-10242</t>
  </si>
  <si>
    <t>TRX-10064</t>
  </si>
  <si>
    <t>234,000</t>
  </si>
  <si>
    <t>TRX-10233</t>
  </si>
  <si>
    <t>98,000</t>
  </si>
  <si>
    <t>TRX-10218</t>
  </si>
  <si>
    <t>TRX-10080</t>
  </si>
  <si>
    <t>TRX-10113</t>
  </si>
  <si>
    <t>TRX-10029</t>
  </si>
  <si>
    <t>Generator Service</t>
  </si>
  <si>
    <t>-2,618,000</t>
  </si>
  <si>
    <t>TRX-10221</t>
  </si>
  <si>
    <t>TRX-10034</t>
  </si>
  <si>
    <t>TRX-10067</t>
  </si>
  <si>
    <t>TRX-10222</t>
  </si>
  <si>
    <t>TRX-10151</t>
  </si>
  <si>
    <t>TRX-10090</t>
  </si>
  <si>
    <t>Welding machne</t>
  </si>
  <si>
    <t>completed</t>
  </si>
  <si>
    <t>TRX-10164</t>
  </si>
  <si>
    <t>149,000</t>
  </si>
  <si>
    <t>TRX-10005</t>
  </si>
  <si>
    <t>216,580</t>
  </si>
  <si>
    <t>TRX-10243</t>
  </si>
  <si>
    <t>TRX-10195</t>
  </si>
  <si>
    <t>TRX-10227</t>
  </si>
  <si>
    <t>TRX-10138</t>
  </si>
  <si>
    <t>TRX-10117</t>
  </si>
  <si>
    <t>TRX-10235</t>
  </si>
  <si>
    <t>TRX-10176</t>
  </si>
  <si>
    <t>287,000</t>
  </si>
  <si>
    <t>TRX-10205</t>
  </si>
  <si>
    <t>151,000</t>
  </si>
  <si>
    <t>TRX-10024</t>
  </si>
  <si>
    <t>27,000</t>
  </si>
  <si>
    <t>TRX-10160</t>
  </si>
  <si>
    <t>TRX-10145</t>
  </si>
  <si>
    <t xml:space="preserve"> TRX-10246 </t>
  </si>
  <si>
    <t>1,180,800</t>
  </si>
  <si>
    <t>TRX-10115</t>
  </si>
  <si>
    <t>TRX-10011</t>
  </si>
  <si>
    <t>398,860</t>
  </si>
  <si>
    <t>TRX-10232</t>
  </si>
  <si>
    <t>TRX-10027</t>
  </si>
  <si>
    <t>TRX-10012</t>
  </si>
  <si>
    <t>TRX-10148</t>
  </si>
  <si>
    <t>HSE inspection</t>
  </si>
  <si>
    <t>122,000</t>
  </si>
  <si>
    <t>TRX-10063</t>
  </si>
  <si>
    <t>TRX-10082</t>
  </si>
  <si>
    <t>TRX-10118</t>
  </si>
  <si>
    <t>industrial valve</t>
  </si>
  <si>
    <t>223,000</t>
  </si>
  <si>
    <t>2,453,000</t>
  </si>
  <si>
    <t>TRX-10055</t>
  </si>
  <si>
    <t>TRX-10208</t>
  </si>
  <si>
    <t>TRX-10092</t>
  </si>
  <si>
    <t>156,000</t>
  </si>
  <si>
    <t>TRX-10165</t>
  </si>
  <si>
    <t>TRX-10036</t>
  </si>
  <si>
    <t>TRX-10119</t>
  </si>
  <si>
    <t>Orion HSE Solutions</t>
  </si>
  <si>
    <t>TRX-10157</t>
  </si>
  <si>
    <t>191,000</t>
  </si>
  <si>
    <t>TRX-10162</t>
  </si>
  <si>
    <t>200,900</t>
  </si>
  <si>
    <t>TRX-10211</t>
  </si>
  <si>
    <t>TRX-10259</t>
  </si>
  <si>
    <t>TRX-10207</t>
  </si>
  <si>
    <t>Industrial Pump</t>
  </si>
  <si>
    <t>TRX-10051</t>
  </si>
  <si>
    <t xml:space="preserve"> Bayelsa </t>
  </si>
  <si>
    <t>TRX-10219</t>
  </si>
  <si>
    <t>TRX-10234</t>
  </si>
  <si>
    <t>TRX-10196</t>
  </si>
  <si>
    <t xml:space="preserve"> PRESSURE GAUGE </t>
  </si>
  <si>
    <t>TRX-10197</t>
  </si>
  <si>
    <t>TRX-10144</t>
  </si>
  <si>
    <t>TRX-10238</t>
  </si>
  <si>
    <t>TRX-10212</t>
  </si>
  <si>
    <t>TRX-10245</t>
  </si>
  <si>
    <t>1,096,000</t>
  </si>
  <si>
    <t>TRX-10253</t>
  </si>
  <si>
    <t>755,000</t>
  </si>
  <si>
    <t>TRX-10180</t>
  </si>
  <si>
    <t>TRX-10079</t>
  </si>
  <si>
    <t xml:space="preserve">Gas detector </t>
  </si>
  <si>
    <t>TRX-10042</t>
  </si>
  <si>
    <t>TRX-10131</t>
  </si>
  <si>
    <t>TRX-10199</t>
  </si>
  <si>
    <t>TRX-10129</t>
  </si>
  <si>
    <t>TRX-10239</t>
  </si>
  <si>
    <t>90,000</t>
  </si>
  <si>
    <t>TRX-10014</t>
  </si>
  <si>
    <t>400,500</t>
  </si>
  <si>
    <t>TRX-10008</t>
  </si>
  <si>
    <t>31,000</t>
  </si>
  <si>
    <t>TRX-10107</t>
  </si>
  <si>
    <t xml:space="preserve"> bank transfer </t>
  </si>
  <si>
    <t>TRX-10229</t>
  </si>
  <si>
    <t>TRX-10223</t>
  </si>
  <si>
    <t>3,724,000</t>
  </si>
  <si>
    <t>TRX-10188</t>
  </si>
  <si>
    <t>TRX-10009</t>
  </si>
  <si>
    <t>TRX-10078</t>
  </si>
  <si>
    <t>85,000</t>
  </si>
  <si>
    <t>TRX-10230</t>
  </si>
  <si>
    <t>TRX-10149</t>
  </si>
  <si>
    <t>TRX-10193</t>
  </si>
  <si>
    <t>TRX-10120</t>
  </si>
  <si>
    <t>TRX-10257</t>
  </si>
  <si>
    <t>589,000</t>
  </si>
  <si>
    <t>TRX-10109</t>
  </si>
  <si>
    <t>TRX-10142</t>
  </si>
  <si>
    <t>TRX-10089</t>
  </si>
  <si>
    <t>HSE Inspection</t>
  </si>
  <si>
    <t>TRX-10153</t>
  </si>
  <si>
    <t>-2,425,500</t>
  </si>
  <si>
    <t>TRX-10198</t>
  </si>
  <si>
    <t>TRX-10045</t>
  </si>
  <si>
    <t>TRX-10170</t>
  </si>
  <si>
    <t>TRX-10066</t>
  </si>
  <si>
    <t>205,200</t>
  </si>
  <si>
    <t>TRX-10061</t>
  </si>
  <si>
    <t>TRX-10094</t>
  </si>
  <si>
    <t>TRX-10252</t>
  </si>
  <si>
    <t>TRX-10260</t>
  </si>
  <si>
    <t>868,000</t>
  </si>
  <si>
    <t>TRX-10210</t>
  </si>
  <si>
    <t xml:space="preserve">Safety harness </t>
  </si>
  <si>
    <t>TRX-10001</t>
  </si>
  <si>
    <t>Industial Pump</t>
  </si>
  <si>
    <t>412,000</t>
  </si>
  <si>
    <t>TRX-10046</t>
  </si>
  <si>
    <t>TRX-10154</t>
  </si>
  <si>
    <t>TRX-10041</t>
  </si>
  <si>
    <t>550,000</t>
  </si>
  <si>
    <t>TRX-10060</t>
  </si>
  <si>
    <t>TRX-10047</t>
  </si>
  <si>
    <t>92,000</t>
  </si>
  <si>
    <t>TRX-10192</t>
  </si>
  <si>
    <t>84,000</t>
  </si>
  <si>
    <t>-151,200</t>
  </si>
  <si>
    <t>TRX-10220</t>
  </si>
  <si>
    <t>TRX-10105</t>
  </si>
  <si>
    <t>TRX-10134</t>
  </si>
  <si>
    <t>5,555,000</t>
  </si>
  <si>
    <t>TRX-10017</t>
  </si>
  <si>
    <t>TRX-10256</t>
  </si>
  <si>
    <t>TRX-10171</t>
  </si>
  <si>
    <t>TRX-10250</t>
  </si>
  <si>
    <t>TRX-10075</t>
  </si>
  <si>
    <t>TRX-10111</t>
  </si>
  <si>
    <t>TRX-10146</t>
  </si>
  <si>
    <t>TRX-10039</t>
  </si>
  <si>
    <t>TRX-10028</t>
  </si>
  <si>
    <t>97,000</t>
  </si>
  <si>
    <t>TRX-10141</t>
  </si>
  <si>
    <t>TRX-10122</t>
  </si>
  <si>
    <t>TRX-10088</t>
  </si>
  <si>
    <t>TRX-10007</t>
  </si>
  <si>
    <t>382,500</t>
  </si>
  <si>
    <t>TRX-10185</t>
  </si>
  <si>
    <t>TRX-10189</t>
  </si>
  <si>
    <t>TRX-10191</t>
  </si>
  <si>
    <t>4,239,000</t>
  </si>
  <si>
    <t>TRX-10244</t>
  </si>
  <si>
    <t>TRX-10150</t>
  </si>
  <si>
    <t>81,000</t>
  </si>
  <si>
    <t>TRX-10140</t>
  </si>
  <si>
    <t>206,000</t>
  </si>
  <si>
    <t>TRX-10068</t>
  </si>
  <si>
    <t>46,000</t>
  </si>
  <si>
    <t>TRX-10004</t>
  </si>
  <si>
    <t>TRX-10087</t>
  </si>
  <si>
    <t>TRX-10178</t>
  </si>
  <si>
    <t>411,600</t>
  </si>
  <si>
    <t>TRX-10203</t>
  </si>
  <si>
    <t>TRX-10049</t>
  </si>
  <si>
    <t>TRX-10173</t>
  </si>
  <si>
    <t>TRX-10052</t>
  </si>
  <si>
    <t>TRX-10002</t>
  </si>
  <si>
    <t>TRX-10019</t>
  </si>
  <si>
    <t>safety harness</t>
  </si>
  <si>
    <t>TRX-10013</t>
  </si>
  <si>
    <t>TRX-10050</t>
  </si>
  <si>
    <t>135,000</t>
  </si>
  <si>
    <t>1,579,500</t>
  </si>
  <si>
    <t>TRX-10057</t>
  </si>
  <si>
    <t>TRX-10179</t>
  </si>
  <si>
    <t>TRX-10026</t>
  </si>
  <si>
    <t>743,000</t>
  </si>
  <si>
    <t>2,972,000</t>
  </si>
  <si>
    <t>TRX-10184</t>
  </si>
  <si>
    <t>TRX-10102</t>
  </si>
  <si>
    <t>TRX-10187</t>
  </si>
  <si>
    <t>TRX-10044</t>
  </si>
  <si>
    <t>gas detector</t>
  </si>
  <si>
    <t>TRX-10130</t>
  </si>
  <si>
    <t>TRX-10200</t>
  </si>
  <si>
    <t>TRX-10183</t>
  </si>
  <si>
    <t>TRX-10204</t>
  </si>
  <si>
    <t>TRX-10104</t>
  </si>
  <si>
    <t>TRX-10015</t>
  </si>
  <si>
    <t>888,000</t>
  </si>
  <si>
    <t>TRX-10135</t>
  </si>
  <si>
    <t>TRX-10155</t>
  </si>
  <si>
    <t>596,000</t>
  </si>
  <si>
    <t>TRX-10116</t>
  </si>
  <si>
    <t>TRX-10110</t>
  </si>
  <si>
    <t>TRX-10071</t>
  </si>
  <si>
    <t>TRX-10247</t>
  </si>
  <si>
    <t xml:space="preserve"> TRX-10159 </t>
  </si>
  <si>
    <t xml:space="preserve"> TRX-10241 </t>
  </si>
  <si>
    <t>108,000</t>
  </si>
  <si>
    <t>TRX-10016</t>
  </si>
  <si>
    <t>TRX-10147</t>
  </si>
  <si>
    <t>TRX-10206</t>
  </si>
  <si>
    <t>TRX-10023</t>
  </si>
  <si>
    <t>TRX-10139</t>
  </si>
  <si>
    <t>TRX-10059</t>
  </si>
  <si>
    <t>TRX-10163</t>
  </si>
  <si>
    <t>TRX-10076</t>
  </si>
  <si>
    <t>TRX-10065</t>
  </si>
  <si>
    <t xml:space="preserve">Industrial pump </t>
  </si>
  <si>
    <t>TRX-10070</t>
  </si>
  <si>
    <t>TRX-10132</t>
  </si>
  <si>
    <t>TRX-10169</t>
  </si>
  <si>
    <t>TRX-10077</t>
  </si>
  <si>
    <t>TRX-10093</t>
  </si>
  <si>
    <t>TRX-10035</t>
  </si>
  <si>
    <t>-18,900</t>
  </si>
  <si>
    <t>TRX-10156</t>
  </si>
  <si>
    <t>1,349,000</t>
  </si>
  <si>
    <t>TRX-10095</t>
  </si>
  <si>
    <t>6,792,000</t>
  </si>
  <si>
    <t>TRX-10214</t>
  </si>
  <si>
    <t>329,000</t>
  </si>
  <si>
    <t>TRX-10098</t>
  </si>
  <si>
    <t>TRX-10103</t>
  </si>
  <si>
    <t>TRX-10181</t>
  </si>
  <si>
    <t>TRX-10125</t>
  </si>
  <si>
    <t>TRX-10100</t>
  </si>
  <si>
    <t>TRX-10106</t>
  </si>
  <si>
    <t>TRX-10136</t>
  </si>
  <si>
    <t>TRX-10177</t>
  </si>
  <si>
    <t>TRX-10190</t>
  </si>
  <si>
    <t xml:space="preserve"> TRX-10249 </t>
  </si>
  <si>
    <t>TRX-10069</t>
  </si>
  <si>
    <t>TRX-10085</t>
  </si>
  <si>
    <t>TRX-10040</t>
  </si>
  <si>
    <t xml:space="preserve"> TRX-10003 </t>
  </si>
  <si>
    <t>HSE INSP.</t>
  </si>
  <si>
    <t>TRX-10209</t>
  </si>
  <si>
    <t>106,000</t>
  </si>
  <si>
    <t>TRX-10254</t>
  </si>
  <si>
    <t>1,957,500</t>
  </si>
  <si>
    <t>TRX-10112</t>
  </si>
  <si>
    <t>TRX-10225</t>
  </si>
  <si>
    <t>-2,910,600</t>
  </si>
  <si>
    <t>TRX-10074</t>
  </si>
  <si>
    <t>TRX-10048</t>
  </si>
  <si>
    <t>TRX-10127</t>
  </si>
  <si>
    <t xml:space="preserve">Industrial valve </t>
  </si>
  <si>
    <t>3,564,000</t>
  </si>
  <si>
    <t>TRX-10114</t>
  </si>
  <si>
    <t>TRX-10097</t>
  </si>
  <si>
    <t>TRX-10226</t>
  </si>
  <si>
    <t>TRX-10215</t>
  </si>
  <si>
    <t>TRX-10058</t>
  </si>
  <si>
    <t>TRX-10124</t>
  </si>
  <si>
    <t>TRX-10084</t>
  </si>
  <si>
    <t>TRX-10018</t>
  </si>
  <si>
    <t>6,800,000</t>
  </si>
  <si>
    <t>TRX-10231</t>
  </si>
  <si>
    <t>104,000</t>
  </si>
  <si>
    <t>TRX-10099</t>
  </si>
  <si>
    <t>Section</t>
  </si>
  <si>
    <t>Question</t>
  </si>
  <si>
    <t>Cleaning &amp; Quality</t>
  </si>
  <si>
    <t>1. How many rows are in the raw dataset? How many unique Transaction_IDs are there?</t>
  </si>
  <si>
    <t>2. Identify all duplicate transactions. How many exact duplicate rows exist?</t>
  </si>
  <si>
    <t>3. Find Transaction_IDs that appear more than once but have conflicting information.</t>
  </si>
  <si>
    <t>4. Identify missing values by column. Which columns require treatment before analysis?</t>
  </si>
  <si>
    <t>5. Standardize the date field into a true Excel date.</t>
  </si>
  <si>
    <t>6. Standardize Customer, City, State, Product, Payment_Method and Status.</t>
  </si>
  <si>
    <t>7. Convert Unit_Price_NGN, Net_Sales_NGN, Quantity and Discount_Rate into usable numeric fields.</t>
  </si>
  <si>
    <t>8. Investigate the suspicious Quantity, Discount_Rate and Net_Sales_NGN values. Decide how each should be treated and document your reasoning.</t>
  </si>
  <si>
    <t>9. Create a clean Transaction_ID with no leading/trailing spaces.</t>
  </si>
  <si>
    <t>10. Build a data-quality summary showing missing values, duplicates and suspicious values.</t>
  </si>
  <si>
    <t>Excel Analysis</t>
  </si>
  <si>
    <t>19. Which salesperson generated the highest net sales?</t>
  </si>
  <si>
    <t>20. What percentage of transactions were Completed, Pending, Cancelled and Returned?</t>
  </si>
  <si>
    <t>21. What is the average discount rate by category?</t>
  </si>
  <si>
    <t>22. Which customer has the highest number of transactions?</t>
  </si>
  <si>
    <t>23. Which product has the highest average unit price?</t>
  </si>
  <si>
    <t>24. Compare sales from Rivers vs Lagos vs Delta vs other states.</t>
  </si>
  <si>
    <t>25. Create a PivotTable showing monthly sales by category.</t>
  </si>
  <si>
    <t>26. Create a PivotTable showing salesperson performance: transactions, quantity and net sales.</t>
  </si>
  <si>
    <t>27. Create at least 4 KPI cards in Excel: Total Sales, Transactions, Units Sold and Average Transaction Value.</t>
  </si>
  <si>
    <t>28. Create one Excel chart that communicates a meaningful business insight.</t>
  </si>
  <si>
    <t>SQL Analysis</t>
  </si>
  <si>
    <t>29. Return the top 10 customers by total net sales.</t>
  </si>
  <si>
    <t>30. Return the top 10 products by total net sales.</t>
  </si>
  <si>
    <t>31. Calculate monthly net sales.</t>
  </si>
  <si>
    <t>32. Calculate quarterly net sales.</t>
  </si>
  <si>
    <t>33. Calculate total sales and transaction count by state.</t>
  </si>
  <si>
    <t>34. Calculate salesperson performance ranked by net sales.</t>
  </si>
  <si>
    <t>35. Find customers with more than 5 transactions.</t>
  </si>
  <si>
    <t>36. Find products with total quantity sold above the overall average product quantity.</t>
  </si>
  <si>
    <t>37. Calculate average transaction value by customer sector.</t>
  </si>
  <si>
    <t>38. Calculate each category's percentage contribution to total sales.</t>
  </si>
  <si>
    <t>39. Find the month-over-month change in sales using a window function.</t>
  </si>
  <si>
    <t>40. Find the top-selling product in each category using ROW_NUMBER or RANK.</t>
  </si>
  <si>
    <t>41. Identify duplicate Transaction_IDs using GROUP BY and HAVING.</t>
  </si>
  <si>
    <t>42. Write a query that flags transactions with unusually high quantity, discount or sales value.</t>
  </si>
  <si>
    <t>Business Insights</t>
  </si>
  <si>
    <t>43. What are the 5 most important findings from your analysis?</t>
  </si>
  <si>
    <t>44. What are 3 data-quality problems that could mislead management if left untreated?</t>
  </si>
  <si>
    <t>45. Recommend 3 questions management should investigate next using the data.</t>
  </si>
  <si>
    <t>Portfolio</t>
  </si>
  <si>
    <t>46. Write a 3–5 sentence project summary suitable for your LinkedIn/portfolio.</t>
  </si>
  <si>
    <t>47. List the Excel and SQL skills demonstrated in this project.</t>
  </si>
  <si>
    <t>48. Give the project a professional title and write 3 CV bullet points describing what you did.</t>
  </si>
  <si>
    <t>Column</t>
  </si>
  <si>
    <t>Definition</t>
  </si>
  <si>
    <t>Expected Type</t>
  </si>
  <si>
    <t>Unique transaction reference</t>
  </si>
  <si>
    <t>Text</t>
  </si>
  <si>
    <t>Date of transaction</t>
  </si>
  <si>
    <t>Date</t>
  </si>
  <si>
    <t>Customer/company name</t>
  </si>
  <si>
    <t>Customer industry/sector</t>
  </si>
  <si>
    <t>Customer city</t>
  </si>
  <si>
    <t>Customer state</t>
  </si>
  <si>
    <t>Product or service purchased</t>
  </si>
  <si>
    <t>High-level product category</t>
  </si>
  <si>
    <t>Detailed product grouping</t>
  </si>
  <si>
    <t>Units purchased</t>
  </si>
  <si>
    <t>Number</t>
  </si>
  <si>
    <t>Unit selling price in NGN</t>
  </si>
  <si>
    <t>Currency</t>
  </si>
  <si>
    <t>Discount applied to transaction</t>
  </si>
  <si>
    <t>Decimal</t>
  </si>
  <si>
    <t>Final transaction value after discount/status adjustment</t>
  </si>
  <si>
    <t>Payment method</t>
  </si>
  <si>
    <t>Staff responsible for sale</t>
  </si>
  <si>
    <t>Transaction status</t>
  </si>
  <si>
    <t>Month</t>
  </si>
  <si>
    <t>Month_Name</t>
  </si>
  <si>
    <t>Quarter</t>
  </si>
  <si>
    <t>November</t>
  </si>
  <si>
    <t>Q4</t>
  </si>
  <si>
    <t>February</t>
  </si>
  <si>
    <t>Q1</t>
  </si>
  <si>
    <t>TRX-10003</t>
  </si>
  <si>
    <t>April</t>
  </si>
  <si>
    <t>Q2</t>
  </si>
  <si>
    <t>May</t>
  </si>
  <si>
    <t>July</t>
  </si>
  <si>
    <t>Q3</t>
  </si>
  <si>
    <t>January</t>
  </si>
  <si>
    <t>August</t>
  </si>
  <si>
    <t>June</t>
  </si>
  <si>
    <t>December</t>
  </si>
  <si>
    <t>September</t>
  </si>
  <si>
    <t>March</t>
  </si>
  <si>
    <t>October</t>
  </si>
  <si>
    <t>TRX-10121</t>
  </si>
  <si>
    <t>TRX-10159</t>
  </si>
  <si>
    <t>TRX-10241</t>
  </si>
  <si>
    <t>TRX-10246</t>
  </si>
  <si>
    <t>TRX-10249</t>
  </si>
  <si>
    <t>TRX-10251</t>
  </si>
  <si>
    <t>TRX-10258</t>
  </si>
  <si>
    <t>Metric</t>
  </si>
  <si>
    <t>Value</t>
  </si>
  <si>
    <t>Clean rows</t>
  </si>
  <si>
    <t>Unique transactions</t>
  </si>
  <si>
    <t>Total net sales (NGN)</t>
  </si>
  <si>
    <t>Total quantity</t>
  </si>
  <si>
    <t>Average transaction value (NGN)</t>
  </si>
  <si>
    <t>Highest-sales customer</t>
  </si>
  <si>
    <t>Highest-sales product</t>
  </si>
  <si>
    <t>Highest-sales category</t>
  </si>
  <si>
    <t>Highest-sales salesperson</t>
  </si>
  <si>
    <t>Transactions</t>
  </si>
  <si>
    <t>Unit_Price_NG</t>
  </si>
  <si>
    <t>Net_Sales_NG</t>
  </si>
  <si>
    <t>Complete</t>
  </si>
  <si>
    <t xml:space="preserve">Purchase Order </t>
  </si>
  <si>
    <t>Po</t>
  </si>
  <si>
    <t/>
  </si>
  <si>
    <t xml:space="preserve"> Bank Transfer </t>
  </si>
  <si>
    <t>Hse Inspection</t>
  </si>
  <si>
    <t>Unknown</t>
  </si>
  <si>
    <t>11. What is total net sales? = 489,825,869.00</t>
  </si>
  <si>
    <t>12. What is total quantity sold? = 2217.00</t>
  </si>
  <si>
    <t>13. What is the average transaction value? = 1,883,945.00</t>
  </si>
  <si>
    <t>Row Labels</t>
  </si>
  <si>
    <t>Grand Total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</si>
  <si>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</si>
  <si>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</si>
  <si>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</si>
  <si>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</si>
  <si>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</si>
  <si>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</si>
  <si>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</si>
  <si>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</si>
  <si>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</si>
  <si>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</si>
  <si>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</si>
  <si>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Sum of Net_Sales_NG</t>
  </si>
  <si>
    <t>MONTHS</t>
  </si>
  <si>
    <t>QUARTER</t>
  </si>
  <si>
    <t>15. Which quarter generated the highest net sales? =Q2</t>
  </si>
  <si>
    <t>14. Which month generated the highest net sales? = April</t>
  </si>
  <si>
    <t>16. Which customer generated the highest net sales? = Trans-Amadi; Fabrication</t>
  </si>
  <si>
    <t>17. Which product generated the highest net sales? = Generator Service</t>
  </si>
  <si>
    <t>18. Which category generated the highest net sales? = Equipment</t>
  </si>
  <si>
    <t>Details for Sum of Net_Sales_NG - Salesperson: Amaka Okafor</t>
  </si>
  <si>
    <t>Average of Discount_Rate</t>
  </si>
  <si>
    <t>Count of Transaction_ID</t>
  </si>
  <si>
    <t>Average of Unit_Price_NG</t>
  </si>
  <si>
    <t>Sum of Quantity</t>
  </si>
  <si>
    <t>Count of Payment_Method</t>
  </si>
  <si>
    <t>TOTAL  SALES</t>
  </si>
  <si>
    <t>TOTAL TRANSACTION</t>
  </si>
  <si>
    <t>UNITS SOLD</t>
  </si>
  <si>
    <t>AVERAGE TRANSACTION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</si>
</sst>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2" fontId="0" fillId="0" borderId="0" xfId="0" applyNumberFormat="1"/>
    <xf numFmtId="165" fontId="0" fillId="0" borderId="0" xfId="0" applyNumberFormat="1"/>
    <xf numFmtId="49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Border="1"/>
    <xf numFmtId="1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[Angie_Data_Analyst_Portfolio_Project WORKED.xlsx]PIVOT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Net Sales Trend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TABLE'!$B$4:$B$16</c:f>
              <c:numCache>
                <c:formatCode>"$"#,##0.00</c:formatCode>
                <c:ptCount val="12"/>
                <c:pt idx="0">
                  <c:v>51465860</c:v>
                </c:pt>
                <c:pt idx="1">
                  <c:v>32552790</c:v>
                </c:pt>
                <c:pt idx="2">
                  <c:v>19993550</c:v>
                </c:pt>
                <c:pt idx="3">
                  <c:v>133078829</c:v>
                </c:pt>
                <c:pt idx="4">
                  <c:v>29194180</c:v>
                </c:pt>
                <c:pt idx="5">
                  <c:v>44062420</c:v>
                </c:pt>
                <c:pt idx="6">
                  <c:v>17977790</c:v>
                </c:pt>
                <c:pt idx="7">
                  <c:v>35941700</c:v>
                </c:pt>
                <c:pt idx="8">
                  <c:v>24332090</c:v>
                </c:pt>
                <c:pt idx="9">
                  <c:v>37593030</c:v>
                </c:pt>
                <c:pt idx="10">
                  <c:v>35931630</c:v>
                </c:pt>
                <c:pt idx="11">
                  <c:v>27702000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01-4C56-B77A-5DB088B6A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5254576"/>
        <c:axId val="1075500320"/>
      </c:lineChart>
      <c:catAx>
        <c:axId val="147525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500320"/>
        <c:crosses val="autoZero"/>
        <c:auto val="1"/>
        <c:lblAlgn val="ctr"/>
        <c:lblOffset val="100"/>
        <c:noMultiLvlLbl val="0"/>
      </c:catAx>
      <c:valAx>
        <c:axId val="107550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25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[Angie_Data_Analyst_Portfolio_Project WORKED.xlsx]PIVOT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Net Sales Trend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9071283909580504"/>
          <c:y val="0.33975578011562391"/>
          <c:w val="0.3257615181320328"/>
          <c:h val="0.560308647580502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TABLE'!$B$4:$B$16</c:f>
              <c:numCache>
                <c:formatCode>"$"#,##0.00</c:formatCode>
                <c:ptCount val="12"/>
                <c:pt idx="0">
                  <c:v>51465860</c:v>
                </c:pt>
                <c:pt idx="1">
                  <c:v>32552790</c:v>
                </c:pt>
                <c:pt idx="2">
                  <c:v>19993550</c:v>
                </c:pt>
                <c:pt idx="3">
                  <c:v>133078829</c:v>
                </c:pt>
                <c:pt idx="4">
                  <c:v>29194180</c:v>
                </c:pt>
                <c:pt idx="5">
                  <c:v>44062420</c:v>
                </c:pt>
                <c:pt idx="6">
                  <c:v>17977790</c:v>
                </c:pt>
                <c:pt idx="7">
                  <c:v>35941700</c:v>
                </c:pt>
                <c:pt idx="8">
                  <c:v>24332090</c:v>
                </c:pt>
                <c:pt idx="9">
                  <c:v>37593030</c:v>
                </c:pt>
                <c:pt idx="10">
                  <c:v>35931630</c:v>
                </c:pt>
                <c:pt idx="11">
                  <c:v>27702000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9-4FC7-BF78-F48BC4F86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0223440"/>
        <c:axId val="1101469472"/>
      </c:barChart>
      <c:catAx>
        <c:axId val="156022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469472"/>
        <c:crosses val="autoZero"/>
        <c:auto val="1"/>
        <c:lblAlgn val="ctr"/>
        <c:lblOffset val="100"/>
        <c:noMultiLvlLbl val="0"/>
      </c:catAx>
      <c:valAx>
        <c:axId val="110146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22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99</xdr:row>
      <xdr:rowOff>22860</xdr:rowOff>
    </xdr:from>
    <xdr:to>
      <xdr:col>6</xdr:col>
      <xdr:colOff>76200</xdr:colOff>
      <xdr:row>100</xdr:row>
      <xdr:rowOff>175260</xdr:rowOff>
    </xdr:to>
    <xdr:sp macro="" textlink="F97">
      <xdr:nvSpPr>
        <xdr:cNvPr id="2" name="Rectangle: Rounded Corners 1">
          <a:extLst>
            <a:ext uri="{FF2B5EF4-FFF2-40B4-BE49-F238E27FC236}">
              <a16:creationId xmlns:a16="http://schemas.microsoft.com/office/drawing/2014/main" id="{0B2EC4F6-BBDE-DC45-441B-E47A1EAD0B5B}"/>
            </a:ext>
          </a:extLst>
        </xdr:cNvPr>
        <xdr:cNvSpPr/>
      </xdr:nvSpPr>
      <xdr:spPr>
        <a:xfrm>
          <a:off x="5478780" y="18127980"/>
          <a:ext cx="1112520" cy="335280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D70540D-CDCF-407E-BB3C-77E82E831D2F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$489,825,869.00</a:t>
          </a:fld>
          <a:endParaRPr lang="en-US" sz="1100"/>
        </a:p>
      </xdr:txBody>
    </xdr:sp>
    <xdr:clientData/>
  </xdr:twoCellAnchor>
  <xdr:twoCellAnchor>
    <xdr:from>
      <xdr:col>4</xdr:col>
      <xdr:colOff>304800</xdr:colOff>
      <xdr:row>104</xdr:row>
      <xdr:rowOff>7620</xdr:rowOff>
    </xdr:from>
    <xdr:to>
      <xdr:col>6</xdr:col>
      <xdr:colOff>266700</xdr:colOff>
      <xdr:row>106</xdr:row>
      <xdr:rowOff>38100</xdr:rowOff>
    </xdr:to>
    <xdr:sp macro="" textlink="B179">
      <xdr:nvSpPr>
        <xdr:cNvPr id="3" name="Rectangle 2">
          <a:extLst>
            <a:ext uri="{FF2B5EF4-FFF2-40B4-BE49-F238E27FC236}">
              <a16:creationId xmlns:a16="http://schemas.microsoft.com/office/drawing/2014/main" id="{BC6E21C8-4DB0-2138-6A9F-DC72C4E08E5F}"/>
            </a:ext>
          </a:extLst>
        </xdr:cNvPr>
        <xdr:cNvSpPr/>
      </xdr:nvSpPr>
      <xdr:spPr>
        <a:xfrm>
          <a:off x="5509260" y="19027140"/>
          <a:ext cx="1272540" cy="39624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09400A0A-D4ED-40D0-9B29-28B1499C64FF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260</a:t>
          </a:fld>
          <a:endParaRPr lang="en-US" sz="1100"/>
        </a:p>
      </xdr:txBody>
    </xdr:sp>
    <xdr:clientData/>
  </xdr:twoCellAnchor>
  <xdr:twoCellAnchor>
    <xdr:from>
      <xdr:col>4</xdr:col>
      <xdr:colOff>297180</xdr:colOff>
      <xdr:row>109</xdr:row>
      <xdr:rowOff>30480</xdr:rowOff>
    </xdr:from>
    <xdr:to>
      <xdr:col>6</xdr:col>
      <xdr:colOff>68580</xdr:colOff>
      <xdr:row>111</xdr:row>
      <xdr:rowOff>99060</xdr:rowOff>
    </xdr:to>
    <xdr:sp macro="" textlink="B241">
      <xdr:nvSpPr>
        <xdr:cNvPr id="4" name="Rectangle: Rounded Corners 3">
          <a:extLst>
            <a:ext uri="{FF2B5EF4-FFF2-40B4-BE49-F238E27FC236}">
              <a16:creationId xmlns:a16="http://schemas.microsoft.com/office/drawing/2014/main" id="{2ED6332D-6D18-3BC8-50C5-AD15AA0D05F1}"/>
            </a:ext>
          </a:extLst>
        </xdr:cNvPr>
        <xdr:cNvSpPr/>
      </xdr:nvSpPr>
      <xdr:spPr>
        <a:xfrm>
          <a:off x="5501640" y="19964400"/>
          <a:ext cx="1082040" cy="4343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BE6B9D1-6940-4FF7-9CB0-0629A1143C67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2217.00</a:t>
          </a:fld>
          <a:endParaRPr lang="en-US" sz="1100"/>
        </a:p>
      </xdr:txBody>
    </xdr:sp>
    <xdr:clientData/>
  </xdr:twoCellAnchor>
  <xdr:twoCellAnchor>
    <xdr:from>
      <xdr:col>5</xdr:col>
      <xdr:colOff>0</xdr:colOff>
      <xdr:row>114</xdr:row>
      <xdr:rowOff>30480</xdr:rowOff>
    </xdr:from>
    <xdr:to>
      <xdr:col>8</xdr:col>
      <xdr:colOff>220980</xdr:colOff>
      <xdr:row>116</xdr:row>
      <xdr:rowOff>160020</xdr:rowOff>
    </xdr:to>
    <xdr:sp macro="" textlink="B115">
      <xdr:nvSpPr>
        <xdr:cNvPr id="5" name="Rectangle 4">
          <a:extLst>
            <a:ext uri="{FF2B5EF4-FFF2-40B4-BE49-F238E27FC236}">
              <a16:creationId xmlns:a16="http://schemas.microsoft.com/office/drawing/2014/main" id="{E41B8B26-56A2-A23B-E318-F6E9C40BBD8D}"/>
            </a:ext>
          </a:extLst>
        </xdr:cNvPr>
        <xdr:cNvSpPr/>
      </xdr:nvSpPr>
      <xdr:spPr>
        <a:xfrm>
          <a:off x="5516880" y="20878800"/>
          <a:ext cx="184404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F7C7516-FAC4-4E30-AADE-79E682D6ED53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$1,883,945.65</a:t>
          </a:fld>
          <a:endParaRPr lang="en-US" sz="1100"/>
        </a:p>
      </xdr:txBody>
    </xdr:sp>
    <xdr:clientData/>
  </xdr:twoCellAnchor>
  <xdr:twoCellAnchor>
    <xdr:from>
      <xdr:col>9</xdr:col>
      <xdr:colOff>99060</xdr:colOff>
      <xdr:row>89</xdr:row>
      <xdr:rowOff>125730</xdr:rowOff>
    </xdr:from>
    <xdr:to>
      <xdr:col>19</xdr:col>
      <xdr:colOff>571500</xdr:colOff>
      <xdr:row>104</xdr:row>
      <xdr:rowOff>125730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97D8A2-3748-D772-B8EE-AE8D0A10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83820</xdr:colOff>
      <xdr:row>104</xdr:row>
      <xdr:rowOff>118110</xdr:rowOff>
    </xdr:from>
    <xdr:to>
      <xdr:col>19</xdr:col>
      <xdr:colOff>556260</xdr:colOff>
      <xdr:row>117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7676E1-9110-0F26-34B1-BDC8CA28C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ZODO ANGELA" refreshedDate="46294.327313310183" createdVersion="8" refreshedVersion="8" minRefreshableVersion="3" recordCount="260" xr:uid="{810F9919-3C27-4893-9445-83E8B916CB4F}">
  <cacheSource type="worksheet">
    <worksheetSource ref="A1:R261" sheet="CLEANED DATASET"/>
  </cacheSource>
  <cacheFields count="20">
    <cacheField name="Transaction_ID" numFmtId="49">
      <sharedItems count="260">
        <s v="TRX-10121"/>
        <s v="TRX-10025"/>
        <s v="TRX-10072"/>
        <s v="TRX-10161"/>
        <s v="TRX-10174"/>
        <s v="TRX-10126"/>
        <s v="TRX-10258"/>
        <s v="TRX-10236"/>
        <s v="TRX-10186"/>
        <s v="TRX-10037"/>
        <s v="TRX-10073"/>
        <s v="TRX-10030"/>
        <s v="TRX-10224"/>
        <s v="TRX-10217"/>
        <s v="TRX-10032"/>
        <s v="TRX-10228"/>
        <s v="TRX-10091"/>
        <s v="TRX-10031"/>
        <s v="TRX-10167"/>
        <s v="TRX-10021"/>
        <s v="TRX-10213"/>
        <s v="TRX-10168"/>
        <s v="TRX-10137"/>
        <s v="TRX-10081"/>
        <s v="TRX-10043"/>
        <s v="TRX-10053"/>
        <s v="TRX-10020"/>
        <s v="TRX-10255"/>
        <s v="TRX-10201"/>
        <s v="TRX-10086"/>
        <s v="TRX-10175"/>
        <s v="TRX-10143"/>
        <s v="TRX-10010"/>
        <s v="TRX-10216"/>
        <s v="TRX-10172"/>
        <s v="TRX-10248"/>
        <s v="TRX-10006"/>
        <s v="TRX-10096"/>
        <s v="TRX-10237"/>
        <s v="TRX-10158"/>
        <s v="TRX-10108"/>
        <s v="TRX-10182"/>
        <s v="TRX-10194"/>
        <s v="TRX-10123"/>
        <s v="TRX-10152"/>
        <s v="TRX-10101"/>
        <s v="TRX-10054"/>
        <s v="TRX-10166"/>
        <s v="TRX-10133"/>
        <s v="TRX-10033"/>
        <s v="TRX-10251"/>
        <s v="TRX-10128"/>
        <s v="TRX-10083"/>
        <s v="TRX-10022"/>
        <s v="TRX-10062"/>
        <s v="TRX-10202"/>
        <s v="TRX-10038"/>
        <s v="TRX-10240"/>
        <s v="TRX-10056"/>
        <s v="TRX-10242"/>
        <s v="TRX-10064"/>
        <s v="TRX-10233"/>
        <s v="TRX-10218"/>
        <s v="TRX-10080"/>
        <s v="TRX-10113"/>
        <s v="TRX-10029"/>
        <s v="TRX-10221"/>
        <s v="TRX-10034"/>
        <s v="TRX-10067"/>
        <s v="TRX-10222"/>
        <s v="TRX-10151"/>
        <s v="TRX-10090"/>
        <s v="TRX-10164"/>
        <s v="TRX-10005"/>
        <s v="TRX-10243"/>
        <s v="TRX-10195"/>
        <s v="TRX-10227"/>
        <s v="TRX-10138"/>
        <s v="TRX-10117"/>
        <s v="TRX-10235"/>
        <s v="TRX-10176"/>
        <s v="TRX-10205"/>
        <s v="TRX-10024"/>
        <s v="TRX-10160"/>
        <s v="TRX-10145"/>
        <s v="TRX-10246"/>
        <s v="TRX-10115"/>
        <s v="TRX-10011"/>
        <s v="TRX-10232"/>
        <s v="TRX-10027"/>
        <s v="TRX-10012"/>
        <s v="TRX-10148"/>
        <s v="TRX-10063"/>
        <s v="TRX-10082"/>
        <s v="TRX-10118"/>
        <s v="TRX-10055"/>
        <s v="TRX-10208"/>
        <s v="TRX-10092"/>
        <s v="TRX-10165"/>
        <s v="TRX-10036"/>
        <s v="TRX-10119"/>
        <s v="TRX-10157"/>
        <s v="TRX-10162"/>
        <s v="TRX-10211"/>
        <s v="TRX-10259"/>
        <s v="TRX-10207"/>
        <s v="TRX-10051"/>
        <s v="TRX-10219"/>
        <s v="TRX-10234"/>
        <s v="TRX-10196"/>
        <s v="TRX-10197"/>
        <s v="TRX-10144"/>
        <s v="TRX-10238"/>
        <s v="TRX-10212"/>
        <s v="TRX-10245"/>
        <s v="TRX-10253"/>
        <s v="TRX-10180"/>
        <s v="TRX-10079"/>
        <s v="TRX-10042"/>
        <s v="TRX-10131"/>
        <s v="TRX-10199"/>
        <s v="TRX-10129"/>
        <s v="TRX-10239"/>
        <s v="TRX-10014"/>
        <s v="TRX-10008"/>
        <s v="TRX-10107"/>
        <s v="TRX-10229"/>
        <s v="TRX-10223"/>
        <s v="TRX-10188"/>
        <s v="TRX-10009"/>
        <s v="TRX-10078"/>
        <s v="TRX-10230"/>
        <s v="TRX-10149"/>
        <s v="TRX-10193"/>
        <s v="TRX-10120"/>
        <s v="TRX-10257"/>
        <s v="TRX-10109"/>
        <s v="TRX-10142"/>
        <s v="TRX-10089"/>
        <s v="TRX-10153"/>
        <s v="TRX-10198"/>
        <s v="TRX-10045"/>
        <s v="TRX-10170"/>
        <s v="TRX-10066"/>
        <s v="TRX-10061"/>
        <s v="TRX-10094"/>
        <s v="TRX-10252"/>
        <s v="TRX-10260"/>
        <s v="TRX-10210"/>
        <s v="TRX-10001"/>
        <s v="TRX-10046"/>
        <s v="TRX-10154"/>
        <s v="TRX-10041"/>
        <s v="TRX-10060"/>
        <s v="TRX-10047"/>
        <s v="TRX-10192"/>
        <s v="TRX-10220"/>
        <s v="TRX-10105"/>
        <s v="TRX-10134"/>
        <s v="TRX-10017"/>
        <s v="TRX-10256"/>
        <s v="TRX-10171"/>
        <s v="TRX-10250"/>
        <s v="TRX-10075"/>
        <s v="TRX-10111"/>
        <s v="TRX-10146"/>
        <s v="TRX-10039"/>
        <s v="TRX-10028"/>
        <s v="TRX-10141"/>
        <s v="TRX-10122"/>
        <s v="TRX-10088"/>
        <s v="TRX-10007"/>
        <s v="TRX-10185"/>
        <s v="TRX-10189"/>
        <s v="TRX-10191"/>
        <s v="TRX-10244"/>
        <s v="TRX-10150"/>
        <s v="TRX-10140"/>
        <s v="TRX-10068"/>
        <s v="TRX-10004"/>
        <s v="TRX-10087"/>
        <s v="TRX-10178"/>
        <s v="TRX-10203"/>
        <s v="TRX-10049"/>
        <s v="TRX-10173"/>
        <s v="TRX-10052"/>
        <s v="TRX-10002"/>
        <s v="TRX-10019"/>
        <s v="TRX-10013"/>
        <s v="TRX-10050"/>
        <s v="TRX-10057"/>
        <s v="TRX-10179"/>
        <s v="TRX-10026"/>
        <s v="TRX-10184"/>
        <s v="TRX-10102"/>
        <s v="TRX-10187"/>
        <s v="TRX-10044"/>
        <s v="TRX-10130"/>
        <s v="TRX-10200"/>
        <s v="TRX-10183"/>
        <s v="TRX-10204"/>
        <s v="TRX-10104"/>
        <s v="TRX-10015"/>
        <s v="TRX-10135"/>
        <s v="TRX-10155"/>
        <s v="TRX-10116"/>
        <s v="TRX-10110"/>
        <s v="TRX-10071"/>
        <s v="TRX-10247"/>
        <s v="TRX-10159"/>
        <s v="TRX-10241"/>
        <s v="TRX-10016"/>
        <s v="TRX-10147"/>
        <s v="TRX-10206"/>
        <s v="TRX-10023"/>
        <s v="TRX-10139"/>
        <s v="TRX-10059"/>
        <s v="TRX-10163"/>
        <s v="TRX-10076"/>
        <s v="TRX-10065"/>
        <s v="TRX-10070"/>
        <s v="TRX-10132"/>
        <s v="TRX-10169"/>
        <s v="TRX-10077"/>
        <s v="TRX-10093"/>
        <s v="TRX-10035"/>
        <s v="TRX-10156"/>
        <s v="TRX-10095"/>
        <s v="TRX-10214"/>
        <s v="TRX-10098"/>
        <s v="TRX-10103"/>
        <s v="TRX-10181"/>
        <s v="TRX-10125"/>
        <s v="TRX-10100"/>
        <s v="TRX-10106"/>
        <s v="TRX-10136"/>
        <s v="TRX-10177"/>
        <s v="TRX-10190"/>
        <s v="TRX-10249"/>
        <s v="TRX-10069"/>
        <s v="TRX-10085"/>
        <s v="TRX-10040"/>
        <s v="TRX-10003"/>
        <s v="TRX-10209"/>
        <s v="TRX-10254"/>
        <s v="TRX-10112"/>
        <s v="TRX-10225"/>
        <s v="TRX-10074"/>
        <s v="TRX-10048"/>
        <s v="TRX-10127"/>
        <s v="TRX-10114"/>
        <s v="TRX-10097"/>
        <s v="TRX-10226"/>
        <s v="TRX-10215"/>
        <s v="TRX-10058"/>
        <s v="TRX-10124"/>
        <s v="TRX-10084"/>
        <s v="TRX-10018"/>
        <s v="TRX-10231"/>
        <s v="TRX-10099"/>
      </sharedItems>
    </cacheField>
    <cacheField name="Transaction_Date" numFmtId="14">
      <sharedItems containsSemiMixedTypes="0" containsNonDate="0" containsDate="1" containsString="0" minDate="2025-01-06T00:00:00" maxDate="2025-12-31T00:00:00" count="188">
        <d v="2025-08-02T00:00:00"/>
        <d v="2025-05-09T00:00:00"/>
        <d v="2025-05-22T00:00:00"/>
        <d v="2025-11-04T00:00:00"/>
        <d v="2025-07-03T00:00:00"/>
        <d v="2025-10-12T00:00:00"/>
        <d v="2025-06-05T00:00:00"/>
        <d v="2025-05-23T00:00:00"/>
        <d v="2025-05-31T00:00:00"/>
        <d v="2025-04-08T00:00:00"/>
        <d v="2025-05-01T00:00:00"/>
        <d v="2025-07-28T00:00:00"/>
        <d v="2025-12-09T00:00:00"/>
        <d v="2025-07-24T00:00:00"/>
        <d v="2025-01-28T00:00:00"/>
        <d v="2025-11-22T00:00:00"/>
        <d v="2025-05-07T00:00:00"/>
        <d v="2025-08-07T00:00:00"/>
        <d v="2025-02-13T00:00:00"/>
        <d v="2025-01-12T00:00:00"/>
        <d v="2025-08-27T00:00:00"/>
        <d v="2025-01-17T00:00:00"/>
        <d v="2025-08-06T00:00:00"/>
        <d v="2025-12-10T00:00:00"/>
        <d v="2025-04-26T00:00:00"/>
        <d v="2025-03-22T00:00:00"/>
        <d v="2025-05-08T00:00:00"/>
        <d v="2025-02-15T00:00:00"/>
        <d v="2025-04-14T00:00:00"/>
        <d v="2025-10-25T00:00:00"/>
        <d v="2025-10-22T00:00:00"/>
        <d v="2025-11-10T00:00:00"/>
        <d v="2025-02-18T00:00:00"/>
        <d v="2025-06-14T00:00:00"/>
        <d v="2025-02-21T00:00:00"/>
        <d v="2025-10-13T00:00:00"/>
        <d v="2025-03-17T00:00:00"/>
        <d v="2025-02-03T00:00:00"/>
        <d v="2025-05-05T00:00:00"/>
        <d v="2025-12-14T00:00:00"/>
        <d v="2025-04-01T00:00:00"/>
        <d v="2025-03-06T00:00:00"/>
        <d v="2025-01-30T00:00:00"/>
        <d v="2025-12-06T00:00:00"/>
        <d v="2025-09-05T00:00:00"/>
        <d v="2025-01-10T00:00:00"/>
        <d v="2025-09-06T00:00:00"/>
        <d v="2025-05-11T00:00:00"/>
        <d v="2025-06-04T00:00:00"/>
        <d v="2025-11-17T00:00:00"/>
        <d v="2025-10-20T00:00:00"/>
        <d v="2025-10-10T00:00:00"/>
        <d v="2025-09-28T00:00:00"/>
        <d v="2025-10-26T00:00:00"/>
        <d v="2025-06-12T00:00:00"/>
        <d v="2025-05-16T00:00:00"/>
        <d v="2025-11-12T00:00:00"/>
        <d v="2025-05-28T00:00:00"/>
        <d v="2025-08-08T00:00:00"/>
        <d v="2025-07-16T00:00:00"/>
        <d v="2025-08-30T00:00:00"/>
        <d v="2025-05-30T00:00:00"/>
        <d v="2025-07-21T00:00:00"/>
        <d v="2025-03-19T00:00:00"/>
        <d v="2025-02-04T00:00:00"/>
        <d v="2025-08-23T00:00:00"/>
        <d v="2025-08-14T00:00:00"/>
        <d v="2025-09-03T00:00:00"/>
        <d v="2025-05-25T00:00:00"/>
        <d v="2025-10-18T00:00:00"/>
        <d v="2025-01-25T00:00:00"/>
        <d v="2025-08-11T00:00:00"/>
        <d v="2025-04-05T00:00:00"/>
        <d v="2025-03-29T00:00:00"/>
        <d v="2025-10-14T00:00:00"/>
        <d v="2025-10-28T00:00:00"/>
        <d v="2025-10-06T00:00:00"/>
        <d v="2025-07-02T00:00:00"/>
        <d v="2025-04-30T00:00:00"/>
        <d v="2025-07-06T00:00:00"/>
        <d v="2025-01-16T00:00:00"/>
        <d v="2025-05-21T00:00:00"/>
        <d v="2025-06-25T00:00:00"/>
        <d v="2025-09-23T00:00:00"/>
        <d v="2025-06-13T00:00:00"/>
        <d v="2025-06-10T00:00:00"/>
        <d v="2025-08-17T00:00:00"/>
        <d v="2025-04-27T00:00:00"/>
        <d v="2025-07-31T00:00:00"/>
        <d v="2025-11-27T00:00:00"/>
        <d v="2025-09-08T00:00:00"/>
        <d v="2025-09-09T00:00:00"/>
        <d v="2025-11-13T00:00:00"/>
        <d v="2025-02-01T00:00:00"/>
        <d v="2025-12-24T00:00:00"/>
        <d v="2025-04-24T00:00:00"/>
        <d v="2025-02-28T00:00:00"/>
        <d v="2025-08-01T00:00:00"/>
        <d v="2025-09-20T00:00:00"/>
        <d v="2025-03-27T00:00:00"/>
        <d v="2025-05-29T00:00:00"/>
        <d v="2025-02-24T00:00:00"/>
        <d v="2025-03-21T00:00:00"/>
        <d v="2025-11-01T00:00:00"/>
        <d v="2025-01-07T00:00:00"/>
        <d v="2025-07-07T00:00:00"/>
        <d v="2025-10-03T00:00:00"/>
        <d v="2025-10-01T00:00:00"/>
        <d v="2025-11-28T00:00:00"/>
        <d v="2025-07-11T00:00:00"/>
        <d v="2025-12-30T00:00:00"/>
        <d v="2025-06-22T00:00:00"/>
        <d v="2025-07-12T00:00:00"/>
        <d v="2025-01-26T00:00:00"/>
        <d v="2025-11-11T00:00:00"/>
        <d v="2025-06-01T00:00:00"/>
        <d v="2025-07-25T00:00:00"/>
        <d v="2025-05-12T00:00:00"/>
        <d v="2025-06-03T00:00:00"/>
        <d v="2025-06-30T00:00:00"/>
        <d v="2025-02-17T00:00:00"/>
        <d v="2025-06-15T00:00:00"/>
        <d v="2025-12-21T00:00:00"/>
        <d v="2025-08-24T00:00:00"/>
        <d v="2025-08-13T00:00:00"/>
        <d v="2025-11-30T00:00:00"/>
        <d v="2025-01-22T00:00:00"/>
        <d v="2025-04-17T00:00:00"/>
        <d v="2025-08-03T00:00:00"/>
        <d v="2025-04-11T00:00:00"/>
        <d v="2025-09-17T00:00:00"/>
        <d v="2025-06-19T00:00:00"/>
        <d v="2025-11-26T00:00:00"/>
        <d v="2025-05-24T00:00:00"/>
        <d v="2025-03-15T00:00:00"/>
        <d v="2025-10-05T00:00:00"/>
        <d v="2025-09-19T00:00:00"/>
        <d v="2025-03-04T00:00:00"/>
        <d v="2025-09-30T00:00:00"/>
        <d v="2025-08-16T00:00:00"/>
        <d v="2025-08-09T00:00:00"/>
        <d v="2025-03-28T00:00:00"/>
        <d v="2025-10-29T00:00:00"/>
        <d v="2025-03-02T00:00:00"/>
        <d v="2025-11-20T00:00:00"/>
        <d v="2025-02-09T00:00:00"/>
        <d v="2025-01-29T00:00:00"/>
        <d v="2025-07-15T00:00:00"/>
        <d v="2025-10-23T00:00:00"/>
        <d v="2025-10-11T00:00:00"/>
        <d v="2025-10-15T00:00:00"/>
        <d v="2025-04-25T00:00:00"/>
        <d v="2025-06-29T00:00:00"/>
        <d v="2025-01-24T00:00:00"/>
        <d v="2025-12-11T00:00:00"/>
        <d v="2025-05-17T00:00:00"/>
        <d v="2025-12-04T00:00:00"/>
        <d v="2025-01-06T00:00:00"/>
        <d v="2025-12-16T00:00:00"/>
        <d v="2025-01-09T00:00:00"/>
        <d v="2025-03-10T00:00:00"/>
        <d v="2025-02-26T00:00:00"/>
        <d v="2025-11-08T00:00:00"/>
        <d v="2025-11-19T00:00:00"/>
        <d v="2025-12-28T00:00:00"/>
        <d v="2025-09-25T00:00:00"/>
        <d v="2025-10-16T00:00:00"/>
        <d v="2025-04-02T00:00:00"/>
        <d v="2025-08-05T00:00:00"/>
        <d v="2025-03-25T00:00:00"/>
        <d v="2025-10-04T00:00:00"/>
        <d v="2025-06-02T00:00:00"/>
        <d v="2025-03-05T00:00:00"/>
        <d v="2025-06-11T00:00:00"/>
        <d v="2025-04-04T00:00:00"/>
        <d v="2025-08-21T00:00:00"/>
        <d v="2025-04-29T00:00:00"/>
        <d v="2025-10-17T00:00:00"/>
        <d v="2025-03-31T00:00:00"/>
        <d v="2025-11-15T00:00:00"/>
        <d v="2025-02-02T00:00:00"/>
        <d v="2025-08-31T00:00:00"/>
        <d v="2025-06-21T00:00:00"/>
        <d v="2025-10-09T00:00:00"/>
        <d v="2025-02-06T00:00:00"/>
        <d v="2025-02-19T00:00:00"/>
        <d v="2025-08-29T00:00:00"/>
        <d v="2025-10-31T00:00:00"/>
      </sharedItems>
      <fieldGroup par="19"/>
    </cacheField>
    <cacheField name="MONTHS" numFmtId="14">
      <sharedItems count="12">
        <s v="August"/>
        <s v="May"/>
        <s v="November"/>
        <s v="July"/>
        <s v="October"/>
        <s v="June"/>
        <s v="April"/>
        <s v="December"/>
        <s v="January"/>
        <s v="February"/>
        <s v="March"/>
        <s v="September"/>
      </sharedItems>
    </cacheField>
    <cacheField name="QUARTER" numFmtId="14">
      <sharedItems/>
    </cacheField>
    <cacheField name="Customer" numFmtId="49">
      <sharedItems count="21">
        <s v="Riverside Drilling Services"/>
        <s v="Bonny Offshore Support"/>
        <s v="WestPoint Procurement"/>
        <s v="Seplat Energy"/>
        <s v="Deepwater Technical Ltd"/>
        <s v="Atlantic Well Services"/>
        <s v="Coastal Industrial Works"/>
        <s v="Delta Marine Logistics"/>
        <s v="GreenDelta Environmental"/>
        <s v="Niger Basin Resources"/>
        <s v="Gulfline Marine Services"/>
        <s v="Bayelsa Industrial Supplies"/>
        <s v="Niger Delta Engineering"/>
        <s v="Prime Energy Projects"/>
        <s v="Eagle Field Solutions"/>
        <s v="Trans-Amadi Fabrication"/>
        <s v="Creekside Mechanical"/>
        <s v="Vertex Facilities Ltd"/>
        <s v="SouthSouth Inspection Co"/>
        <s v="Unknown"/>
        <s v="Orion HSE Solutions"/>
      </sharedItems>
    </cacheField>
    <cacheField name="Customer_Sector" numFmtId="49">
      <sharedItems/>
    </cacheField>
    <cacheField name="City" numFmtId="49">
      <sharedItems/>
    </cacheField>
    <cacheField name="State" numFmtId="49">
      <sharedItems count="7">
        <s v="Rivers"/>
        <s v="Lagos"/>
        <s v="Akwa Ibom"/>
        <s v="Delta"/>
        <s v="FCT"/>
        <s v="Bayelsa"/>
        <s v="Imo"/>
      </sharedItems>
    </cacheField>
    <cacheField name="Product" numFmtId="0">
      <sharedItems count="18">
        <s v="Hard Hat"/>
        <s v="Pressure Gauge"/>
        <s v="Industrial Valve"/>
        <s v="Welding Machine"/>
        <s v="Submersible Pump"/>
        <s v="Control Panel"/>
        <s v="Flow Meter"/>
        <s v="Gas Detector"/>
        <s v="Hse Inspection"/>
        <s v="Ball Valve"/>
        <s v="Industrial Pump"/>
        <s v="Welding Electrodes"/>
        <s v="Generator Service"/>
        <s v="Safety Harness"/>
        <s v="Safety Boots"/>
        <s v="Equipment Calibration"/>
        <s v="Pump Maintenance"/>
        <s v="Cable Tray"/>
      </sharedItems>
    </cacheField>
    <cacheField name="Category" numFmtId="49">
      <sharedItems count="5">
        <s v="HSE"/>
        <s v="Equipment"/>
        <s v="Service"/>
        <s v="Consumables"/>
        <s v="Materials"/>
      </sharedItems>
    </cacheField>
    <cacheField name="Subcategory" numFmtId="49">
      <sharedItems/>
    </cacheField>
    <cacheField name="Quantity" numFmtId="2">
      <sharedItems containsSemiMixedTypes="0" containsString="0" containsNumber="1" containsInteger="1" minValue="0" maxValue="150" count="17">
        <n v="9"/>
        <n v="6"/>
        <n v="15"/>
        <n v="14"/>
        <n v="5"/>
        <n v="4"/>
        <n v="11"/>
        <n v="1"/>
        <n v="12"/>
        <n v="2"/>
        <n v="8"/>
        <n v="13"/>
        <n v="3"/>
        <n v="7"/>
        <n v="150"/>
        <n v="10"/>
        <n v="0"/>
      </sharedItems>
    </cacheField>
    <cacheField name="Unit_Price_NG" numFmtId="165">
      <sharedItems containsSemiMixedTypes="0" containsString="0" containsNumber="1" containsInteger="1" minValue="16000" maxValue="6800000"/>
    </cacheField>
    <cacheField name="Discount_Rate" numFmtId="2">
      <sharedItems containsSemiMixedTypes="0" containsString="0" containsNumber="1" minValue="0" maxValue="1.5"/>
    </cacheField>
    <cacheField name="Net_Sales_NG" numFmtId="165">
      <sharedItems containsSemiMixedTypes="0" containsString="0" containsNumber="1" containsInteger="1" minValue="0" maxValue="99999999"/>
    </cacheField>
    <cacheField name="Payment_Method" numFmtId="49">
      <sharedItems/>
    </cacheField>
    <cacheField name="Salesperson" numFmtId="0">
      <sharedItems count="9">
        <s v="Victor Nwosu"/>
        <s v="Ibrahim Musa"/>
        <s v="Favour James"/>
        <s v="David Eze"/>
        <s v="Amaka Okafor"/>
        <s v="Blessing George"/>
        <s v="Daniel Udo"/>
        <s v="Chioma Obi"/>
        <s v="Unknown"/>
      </sharedItems>
    </cacheField>
    <cacheField name="Status" numFmtId="49">
      <sharedItems count="8">
        <s v="Cancelled"/>
        <s v="Completed"/>
        <s v="Returned"/>
        <s v="Pending"/>
        <s v="Done"/>
        <s v="Canceled" u="1"/>
        <s v="Complete" u="1"/>
        <s v="Return" u="1"/>
      </sharedItems>
    </cacheField>
    <cacheField name="Days (Transaction_Date)" numFmtId="0" databaseField="0">
      <fieldGroup base="1">
        <rangePr groupBy="days" startDate="2025-01-06T00:00:00" endDate="2025-12-31T00:00:00"/>
        <groupItems count="368">
          <s v="&lt;1/6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5"/>
        </groupItems>
      </fieldGroup>
    </cacheField>
    <cacheField name="Months (Transaction_Date)" numFmtId="0" databaseField="0">
      <fieldGroup base="1">
        <rangePr groupBy="months" startDate="2025-01-06T00:00:00" endDate="2025-12-31T00:00:00"/>
        <groupItems count="14">
          <s v="&lt;1/6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ZODO ANGELA" refreshedDate="46294.327314004629" createdVersion="8" refreshedVersion="8" minRefreshableVersion="3" recordCount="260" xr:uid="{2CB75CE6-70E9-4BCD-9BF6-BF5EC2247718}">
  <cacheSource type="worksheet">
    <worksheetSource ref="A1:O261" sheet="CLEANED DATASET"/>
  </cacheSource>
  <cacheFields count="15">
    <cacheField name="Transaction_ID" numFmtId="49">
      <sharedItems/>
    </cacheField>
    <cacheField name="Transaction_Date" numFmtId="14">
      <sharedItems containsSemiMixedTypes="0" containsNonDate="0" containsDate="1" containsString="0" minDate="2025-01-06T00:00:00" maxDate="2025-12-31T00:00:00"/>
    </cacheField>
    <cacheField name="MONTHS" numFmtId="14">
      <sharedItems/>
    </cacheField>
    <cacheField name="QUARTER" numFmtId="14">
      <sharedItems count="4">
        <s v="Q3"/>
        <s v="Q2"/>
        <s v="Q4"/>
        <s v="Q1"/>
      </sharedItems>
    </cacheField>
    <cacheField name="Customer" numFmtId="49">
      <sharedItems count="21">
        <s v="Riverside Drilling Services"/>
        <s v="Bonny Offshore Support"/>
        <s v="WestPoint Procurement"/>
        <s v="Seplat Energy"/>
        <s v="Deepwater Technical Ltd"/>
        <s v="Atlantic Well Services"/>
        <s v="Coastal Industrial Works"/>
        <s v="Delta Marine Logistics"/>
        <s v="GreenDelta Environmental"/>
        <s v="Niger Basin Resources"/>
        <s v="Gulfline Marine Services"/>
        <s v="Bayelsa Industrial Supplies"/>
        <s v="Niger Delta Engineering"/>
        <s v="Prime Energy Projects"/>
        <s v="Eagle Field Solutions"/>
        <s v="Trans-Amadi Fabrication"/>
        <s v="Creekside Mechanical"/>
        <s v="Vertex Facilities Ltd"/>
        <s v="SouthSouth Inspection Co"/>
        <s v="Unknown"/>
        <s v="Orion HSE Solutions"/>
      </sharedItems>
    </cacheField>
    <cacheField name="Customer_Sector" numFmtId="49">
      <sharedItems/>
    </cacheField>
    <cacheField name="City" numFmtId="49">
      <sharedItems/>
    </cacheField>
    <cacheField name="State" numFmtId="49">
      <sharedItems/>
    </cacheField>
    <cacheField name="Product" numFmtId="0">
      <sharedItems count="24">
        <s v="Hard Hat"/>
        <s v="Pressure Gauge"/>
        <s v="Industrial Valve"/>
        <s v="Welding Machine"/>
        <s v="Submersible Pump"/>
        <s v="Control Panel"/>
        <s v="Flow Meter"/>
        <s v="Gas Detector"/>
        <s v="Hse Inspection"/>
        <s v="Ball Valve"/>
        <s v="Industrial Pump"/>
        <s v="Welding Electrodes"/>
        <s v="Generator Service"/>
        <s v="Safety Harness"/>
        <s v="Safety Boots"/>
        <s v="Equipment Calibration"/>
        <s v="Pump Maintenance"/>
        <s v="Cable Tray"/>
        <s v="Hse Inspection " u="1"/>
        <s v=" Pressure Gauge " u="1"/>
        <s v="Gas Detector " u="1"/>
        <s v="Safety Harness " u="1"/>
        <s v="Industrial Pump " u="1"/>
        <s v="Industrial Valve " u="1"/>
      </sharedItems>
    </cacheField>
    <cacheField name="Category" numFmtId="49">
      <sharedItems count="5">
        <s v="HSE"/>
        <s v="Equipment"/>
        <s v="Service"/>
        <s v="Consumables"/>
        <s v="Materials"/>
      </sharedItems>
    </cacheField>
    <cacheField name="Subcategory" numFmtId="49">
      <sharedItems/>
    </cacheField>
    <cacheField name="Quantity" numFmtId="2">
      <sharedItems containsSemiMixedTypes="0" containsString="0" containsNumber="1" containsInteger="1" minValue="0" maxValue="150"/>
    </cacheField>
    <cacheField name="Unit_Price_NG" numFmtId="165">
      <sharedItems containsSemiMixedTypes="0" containsString="0" containsNumber="1" containsInteger="1" minValue="16000" maxValue="6800000"/>
    </cacheField>
    <cacheField name="Discount_Rate" numFmtId="2">
      <sharedItems containsSemiMixedTypes="0" containsString="0" containsNumber="1" minValue="0" maxValue="1.5"/>
    </cacheField>
    <cacheField name="Net_Sales_NG" numFmtId="165">
      <sharedItems containsSemiMixedTypes="0" containsString="0" containsNumber="1" containsInteger="1" minValue="0" maxValue="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ZODO ANGELA" refreshedDate="46294.327314930553" createdVersion="8" refreshedVersion="8" minRefreshableVersion="3" recordCount="261" xr:uid="{AEE7836F-445E-4020-9B1C-65D597925601}">
  <cacheSource type="worksheet">
    <worksheetSource ref="A1:R1048576" sheet="CLEANED DATASET"/>
  </cacheSource>
  <cacheFields count="18">
    <cacheField name="Transaction_ID" numFmtId="49">
      <sharedItems containsBlank="1"/>
    </cacheField>
    <cacheField name="Transaction_Date" numFmtId="14">
      <sharedItems containsNonDate="0" containsDate="1" containsString="0" containsBlank="1" minDate="2025-01-06T00:00:00" maxDate="2025-12-31T00:00:00"/>
    </cacheField>
    <cacheField name="MONTHS" numFmtId="14">
      <sharedItems containsBlank="1"/>
    </cacheField>
    <cacheField name="QUARTER" numFmtId="14">
      <sharedItems containsBlank="1"/>
    </cacheField>
    <cacheField name="Customer" numFmtId="49">
      <sharedItems containsBlank="1"/>
    </cacheField>
    <cacheField name="Customer_Sector" numFmtId="49">
      <sharedItems containsBlank="1"/>
    </cacheField>
    <cacheField name="City" numFmtId="49">
      <sharedItems containsBlank="1"/>
    </cacheField>
    <cacheField name="State" numFmtId="49">
      <sharedItems containsBlank="1"/>
    </cacheField>
    <cacheField name="Product" numFmtId="0">
      <sharedItems containsBlank="1"/>
    </cacheField>
    <cacheField name="Category" numFmtId="49">
      <sharedItems containsBlank="1"/>
    </cacheField>
    <cacheField name="Subcategory" numFmtId="49">
      <sharedItems containsBlank="1"/>
    </cacheField>
    <cacheField name="Quantity" numFmtId="2">
      <sharedItems containsString="0" containsBlank="1" containsNumber="1" containsInteger="1" minValue="0" maxValue="150"/>
    </cacheField>
    <cacheField name="Unit_Price_NG" numFmtId="165">
      <sharedItems containsString="0" containsBlank="1" containsNumber="1" containsInteger="1" minValue="16000" maxValue="6800000"/>
    </cacheField>
    <cacheField name="Discount_Rate" numFmtId="2">
      <sharedItems containsString="0" containsBlank="1" containsNumber="1" minValue="0" maxValue="1.5"/>
    </cacheField>
    <cacheField name="Net_Sales_NG" numFmtId="165">
      <sharedItems containsString="0" containsBlank="1" containsNumber="1" containsInteger="1" minValue="0" maxValue="99999999"/>
    </cacheField>
    <cacheField name="Payment_Method" numFmtId="49">
      <sharedItems containsBlank="1"/>
    </cacheField>
    <cacheField name="Salesperson" numFmtId="0">
      <sharedItems containsBlank="1" count="10">
        <s v="Victor Nwosu"/>
        <s v="Ibrahim Musa"/>
        <s v="Favour James"/>
        <s v="David Eze"/>
        <s v="Amaka Okafor"/>
        <s v="Blessing George"/>
        <s v="Daniel Udo"/>
        <s v="Chioma Obi"/>
        <s v="Unknown"/>
        <m/>
      </sharedItems>
    </cacheField>
    <cacheField name="Status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x v="0"/>
    <x v="0"/>
    <x v="0"/>
    <s v="Q3"/>
    <x v="0"/>
    <s v="Oil &amp; Gas Services"/>
    <s v="Port Harcourt"/>
    <x v="0"/>
    <x v="0"/>
    <x v="0"/>
    <s v="PPE"/>
    <x v="0"/>
    <n v="20000"/>
    <n v="0.02"/>
    <n v="0"/>
    <s v="Purchase Order "/>
    <x v="0"/>
    <x v="0"/>
  </r>
  <r>
    <x v="1"/>
    <x v="1"/>
    <x v="1"/>
    <s v="Q2"/>
    <x v="1"/>
    <s v="Marine"/>
    <s v="Bonny"/>
    <x v="0"/>
    <x v="1"/>
    <x v="1"/>
    <s v="Instrumentation"/>
    <x v="1"/>
    <n v="85000"/>
    <n v="0"/>
    <n v="0"/>
    <s v="Card"/>
    <x v="1"/>
    <x v="0"/>
  </r>
  <r>
    <x v="2"/>
    <x v="2"/>
    <x v="1"/>
    <s v="Q2"/>
    <x v="2"/>
    <s v="Procurement"/>
    <s v="Lagos"/>
    <x v="1"/>
    <x v="2"/>
    <x v="1"/>
    <s v="Valve"/>
    <x v="2"/>
    <n v="224000"/>
    <n v="0.1"/>
    <n v="3024000"/>
    <s v="Card"/>
    <x v="2"/>
    <x v="1"/>
  </r>
  <r>
    <x v="3"/>
    <x v="3"/>
    <x v="2"/>
    <s v="Q4"/>
    <x v="3"/>
    <s v="Energy"/>
    <s v="Port Harcourt"/>
    <x v="0"/>
    <x v="3"/>
    <x v="1"/>
    <s v="Fabrication"/>
    <x v="3"/>
    <n v="343000"/>
    <n v="0"/>
    <n v="4802000"/>
    <s v="Cash"/>
    <x v="2"/>
    <x v="1"/>
  </r>
  <r>
    <x v="4"/>
    <x v="4"/>
    <x v="3"/>
    <s v="Q3"/>
    <x v="4"/>
    <s v="Oil &amp; Gas Services"/>
    <s v="Lagos"/>
    <x v="1"/>
    <x v="4"/>
    <x v="1"/>
    <s v="Pump"/>
    <x v="4"/>
    <n v="640000"/>
    <n v="0.1"/>
    <n v="2880000"/>
    <s v="Cash"/>
    <x v="3"/>
    <x v="1"/>
  </r>
  <r>
    <x v="5"/>
    <x v="5"/>
    <x v="4"/>
    <s v="Q4"/>
    <x v="5"/>
    <s v="Oil &amp; Gas Services"/>
    <s v="Lagos"/>
    <x v="1"/>
    <x v="5"/>
    <x v="1"/>
    <s v="Electrical"/>
    <x v="5"/>
    <n v="518000"/>
    <n v="0.1"/>
    <n v="0"/>
    <s v="Card"/>
    <x v="3"/>
    <x v="0"/>
  </r>
  <r>
    <x v="6"/>
    <x v="6"/>
    <x v="5"/>
    <s v="Q2"/>
    <x v="6"/>
    <s v="Industrial"/>
    <s v="Uyo"/>
    <x v="2"/>
    <x v="6"/>
    <x v="1"/>
    <s v="Instrumentation"/>
    <x v="4"/>
    <n v="331000"/>
    <n v="0.05"/>
    <n v="1572250"/>
    <s v="Card"/>
    <x v="3"/>
    <x v="1"/>
  </r>
  <r>
    <x v="7"/>
    <x v="7"/>
    <x v="1"/>
    <s v="Q2"/>
    <x v="0"/>
    <s v="Oil &amp; Gas Services"/>
    <s v="Port Harcourt"/>
    <x v="0"/>
    <x v="1"/>
    <x v="1"/>
    <s v="Instrumentation"/>
    <x v="6"/>
    <n v="91000"/>
    <n v="0.05"/>
    <n v="950950"/>
    <s v="Card"/>
    <x v="4"/>
    <x v="1"/>
  </r>
  <r>
    <x v="8"/>
    <x v="8"/>
    <x v="1"/>
    <s v="Q2"/>
    <x v="2"/>
    <s v="Procurement"/>
    <s v="Lagos"/>
    <x v="1"/>
    <x v="6"/>
    <x v="1"/>
    <s v="Instrumentation"/>
    <x v="7"/>
    <n v="328000"/>
    <n v="0.05"/>
    <n v="311600"/>
    <s v="P.O."/>
    <x v="2"/>
    <x v="2"/>
  </r>
  <r>
    <x v="9"/>
    <x v="9"/>
    <x v="6"/>
    <s v="Q2"/>
    <x v="7"/>
    <s v="Logistics"/>
    <s v="Warri"/>
    <x v="3"/>
    <x v="1"/>
    <x v="1"/>
    <s v="Instrumentation"/>
    <x v="6"/>
    <n v="82000"/>
    <n v="0"/>
    <n v="902000"/>
    <s v="Bank Transfer"/>
    <x v="1"/>
    <x v="3"/>
  </r>
  <r>
    <x v="10"/>
    <x v="10"/>
    <x v="1"/>
    <s v="Q2"/>
    <x v="8"/>
    <s v="Environmental"/>
    <s v="Port Harcourt"/>
    <x v="0"/>
    <x v="7"/>
    <x v="0"/>
    <s v="Safety"/>
    <x v="8"/>
    <n v="172000"/>
    <n v="0"/>
    <n v="2064000"/>
    <s v="Purchase Order"/>
    <x v="5"/>
    <x v="1"/>
  </r>
  <r>
    <x v="11"/>
    <x v="11"/>
    <x v="3"/>
    <s v="Q3"/>
    <x v="2"/>
    <s v="Procurement"/>
    <s v="Lagos"/>
    <x v="1"/>
    <x v="6"/>
    <x v="1"/>
    <s v="Instrumentation"/>
    <x v="5"/>
    <n v="277000"/>
    <n v="0"/>
    <n v="1108000"/>
    <s v="Purchase Order"/>
    <x v="2"/>
    <x v="1"/>
  </r>
  <r>
    <x v="12"/>
    <x v="12"/>
    <x v="7"/>
    <s v="Q4"/>
    <x v="7"/>
    <s v="Logistics"/>
    <s v="Warri"/>
    <x v="3"/>
    <x v="8"/>
    <x v="2"/>
    <s v="Inspection"/>
    <x v="1"/>
    <n v="118000"/>
    <n v="0"/>
    <n v="0"/>
    <s v="Bank Transfer"/>
    <x v="5"/>
    <x v="0"/>
  </r>
  <r>
    <x v="13"/>
    <x v="13"/>
    <x v="3"/>
    <s v="Q3"/>
    <x v="9"/>
    <s v="Energy"/>
    <s v="Abuja"/>
    <x v="4"/>
    <x v="9"/>
    <x v="1"/>
    <s v="Valve"/>
    <x v="5"/>
    <n v="140000"/>
    <n v="0.05"/>
    <n v="532000"/>
    <s v="Cash"/>
    <x v="1"/>
    <x v="4"/>
  </r>
  <r>
    <x v="14"/>
    <x v="14"/>
    <x v="8"/>
    <s v="Q1"/>
    <x v="10"/>
    <s v="Marine"/>
    <s v="Warri"/>
    <x v="3"/>
    <x v="10"/>
    <x v="1"/>
    <s v="Pump"/>
    <x v="9"/>
    <n v="389000"/>
    <n v="1.5"/>
    <n v="778000"/>
    <s v="Purchase Order"/>
    <x v="0"/>
    <x v="4"/>
  </r>
  <r>
    <x v="15"/>
    <x v="15"/>
    <x v="2"/>
    <s v="Q4"/>
    <x v="11"/>
    <s v="Industrial"/>
    <s v="Yenagoa"/>
    <x v="5"/>
    <x v="7"/>
    <x v="0"/>
    <s v="Safety"/>
    <x v="9"/>
    <n v="192000"/>
    <n v="0.05"/>
    <n v="364800"/>
    <s v="Cash"/>
    <x v="1"/>
    <x v="4"/>
  </r>
  <r>
    <x v="16"/>
    <x v="16"/>
    <x v="1"/>
    <s v="Q2"/>
    <x v="6"/>
    <s v="Industrial"/>
    <s v="Uyo"/>
    <x v="2"/>
    <x v="5"/>
    <x v="1"/>
    <s v="Electrical"/>
    <x v="1"/>
    <n v="474000"/>
    <n v="0"/>
    <n v="2844000"/>
    <s v="Cash"/>
    <x v="2"/>
    <x v="3"/>
  </r>
  <r>
    <x v="17"/>
    <x v="17"/>
    <x v="0"/>
    <s v="Q3"/>
    <x v="11"/>
    <s v="Industrial"/>
    <s v="Yenagoa"/>
    <x v="5"/>
    <x v="3"/>
    <x v="1"/>
    <s v="Fabrication"/>
    <x v="10"/>
    <n v="365000"/>
    <n v="0"/>
    <n v="2920000"/>
    <s v="Purchase Order"/>
    <x v="3"/>
    <x v="4"/>
  </r>
  <r>
    <x v="18"/>
    <x v="18"/>
    <x v="9"/>
    <s v="Q1"/>
    <x v="2"/>
    <s v="Procurement"/>
    <s v="Lagos"/>
    <x v="1"/>
    <x v="7"/>
    <x v="0"/>
    <s v="Safety"/>
    <x v="9"/>
    <n v="188000"/>
    <n v="0"/>
    <n v="376000"/>
    <s v="Cash"/>
    <x v="5"/>
    <x v="1"/>
  </r>
  <r>
    <x v="19"/>
    <x v="19"/>
    <x v="8"/>
    <s v="Q1"/>
    <x v="12"/>
    <s v="Engineering"/>
    <s v="Port Harcourt"/>
    <x v="0"/>
    <x v="9"/>
    <x v="1"/>
    <s v="Valve"/>
    <x v="2"/>
    <n v="152000"/>
    <n v="0.02"/>
    <n v="2234400"/>
    <s v="Bank Transfer"/>
    <x v="1"/>
    <x v="1"/>
  </r>
  <r>
    <x v="20"/>
    <x v="20"/>
    <x v="0"/>
    <s v="Q3"/>
    <x v="13"/>
    <s v="Energy"/>
    <s v="Abuja"/>
    <x v="4"/>
    <x v="5"/>
    <x v="1"/>
    <s v="Electrical"/>
    <x v="0"/>
    <n v="549000"/>
    <n v="0.1"/>
    <n v="4446900"/>
    <s v="Card"/>
    <x v="1"/>
    <x v="3"/>
  </r>
  <r>
    <x v="21"/>
    <x v="3"/>
    <x v="2"/>
    <s v="Q4"/>
    <x v="9"/>
    <s v="Energy"/>
    <s v="Abuja"/>
    <x v="4"/>
    <x v="11"/>
    <x v="3"/>
    <s v="Consumables"/>
    <x v="10"/>
    <n v="26000"/>
    <n v="0"/>
    <n v="0"/>
    <s v="Po"/>
    <x v="3"/>
    <x v="0"/>
  </r>
  <r>
    <x v="22"/>
    <x v="21"/>
    <x v="8"/>
    <s v="Q1"/>
    <x v="0"/>
    <s v="Oil &amp; Gas Services"/>
    <s v="Port Harcourt"/>
    <x v="0"/>
    <x v="2"/>
    <x v="1"/>
    <s v="Valve"/>
    <x v="11"/>
    <n v="245000"/>
    <n v="0"/>
    <n v="3185000"/>
    <s v="Cash"/>
    <x v="6"/>
    <x v="4"/>
  </r>
  <r>
    <x v="23"/>
    <x v="22"/>
    <x v="0"/>
    <s v="Q3"/>
    <x v="14"/>
    <s v="Oil &amp; Gas Services"/>
    <s v="Owerri"/>
    <x v="6"/>
    <x v="1"/>
    <x v="1"/>
    <s v="Instrumentation"/>
    <x v="10"/>
    <n v="95000"/>
    <n v="0"/>
    <n v="760000"/>
    <s v="Bank Transfer"/>
    <x v="6"/>
    <x v="2"/>
  </r>
  <r>
    <x v="24"/>
    <x v="23"/>
    <x v="7"/>
    <s v="Q4"/>
    <x v="10"/>
    <s v="Marine"/>
    <s v="Warri"/>
    <x v="3"/>
    <x v="11"/>
    <x v="3"/>
    <s v="Consumables"/>
    <x v="2"/>
    <n v="25000"/>
    <n v="0"/>
    <n v="375000"/>
    <s v="Cash"/>
    <x v="3"/>
    <x v="1"/>
  </r>
  <r>
    <x v="25"/>
    <x v="24"/>
    <x v="6"/>
    <s v="Q2"/>
    <x v="15"/>
    <s v="Engineering"/>
    <s v="Port Harcourt"/>
    <x v="0"/>
    <x v="12"/>
    <x v="2"/>
    <s v="Maintenance"/>
    <x v="1"/>
    <n v="204000"/>
    <n v="0.02"/>
    <n v="99999999"/>
    <s v="Card"/>
    <x v="4"/>
    <x v="1"/>
  </r>
  <r>
    <x v="26"/>
    <x v="25"/>
    <x v="10"/>
    <s v="Q1"/>
    <x v="16"/>
    <s v="Engineering"/>
    <s v="Warri"/>
    <x v="3"/>
    <x v="13"/>
    <x v="0"/>
    <s v="PPE"/>
    <x v="0"/>
    <n v="72000"/>
    <n v="0.1"/>
    <n v="583200"/>
    <s v="Cash"/>
    <x v="0"/>
    <x v="1"/>
  </r>
  <r>
    <x v="27"/>
    <x v="26"/>
    <x v="1"/>
    <s v="Q2"/>
    <x v="8"/>
    <s v="Environmental"/>
    <s v="Port Harcourt"/>
    <x v="0"/>
    <x v="11"/>
    <x v="3"/>
    <s v="Consumables"/>
    <x v="10"/>
    <n v="26000"/>
    <n v="0"/>
    <n v="208000"/>
    <s v="Bank Transfer"/>
    <x v="2"/>
    <x v="2"/>
  </r>
  <r>
    <x v="28"/>
    <x v="27"/>
    <x v="9"/>
    <s v="Q1"/>
    <x v="9"/>
    <s v="Energy"/>
    <s v="Abuja"/>
    <x v="4"/>
    <x v="13"/>
    <x v="0"/>
    <s v="PPE"/>
    <x v="7"/>
    <n v="79000"/>
    <n v="0"/>
    <n v="79000"/>
    <s v="Purchase Order"/>
    <x v="0"/>
    <x v="2"/>
  </r>
  <r>
    <x v="29"/>
    <x v="28"/>
    <x v="6"/>
    <s v="Q2"/>
    <x v="7"/>
    <s v="Logistics"/>
    <s v="Warri"/>
    <x v="3"/>
    <x v="14"/>
    <x v="0"/>
    <s v="PPE"/>
    <x v="9"/>
    <n v="41000"/>
    <n v="0.02"/>
    <n v="80360"/>
    <s v="Transfer"/>
    <x v="4"/>
    <x v="2"/>
  </r>
  <r>
    <x v="30"/>
    <x v="29"/>
    <x v="4"/>
    <s v="Q4"/>
    <x v="9"/>
    <s v="Energy"/>
    <s v="Abuja"/>
    <x v="4"/>
    <x v="0"/>
    <x v="0"/>
    <s v="PPE"/>
    <x v="12"/>
    <n v="19000"/>
    <n v="0.05"/>
    <n v="54150"/>
    <s v="Bank Transfer"/>
    <x v="6"/>
    <x v="1"/>
  </r>
  <r>
    <x v="31"/>
    <x v="30"/>
    <x v="4"/>
    <s v="Q4"/>
    <x v="16"/>
    <s v="Engineering"/>
    <s v="Warri"/>
    <x v="3"/>
    <x v="11"/>
    <x v="3"/>
    <s v="Consumables"/>
    <x v="8"/>
    <n v="28000"/>
    <n v="0.02"/>
    <n v="329280"/>
    <s v="Purchase Order"/>
    <x v="7"/>
    <x v="1"/>
  </r>
  <r>
    <x v="32"/>
    <x v="31"/>
    <x v="2"/>
    <s v="Q4"/>
    <x v="11"/>
    <s v="Industrial"/>
    <s v="Yenagoa"/>
    <x v="5"/>
    <x v="15"/>
    <x v="2"/>
    <s v="Calibration"/>
    <x v="8"/>
    <n v="102000"/>
    <n v="0"/>
    <n v="1224000"/>
    <s v="Purchase Order"/>
    <x v="5"/>
    <x v="1"/>
  </r>
  <r>
    <x v="33"/>
    <x v="32"/>
    <x v="9"/>
    <s v="Q1"/>
    <x v="1"/>
    <s v="Marine"/>
    <s v="Bonny"/>
    <x v="0"/>
    <x v="12"/>
    <x v="2"/>
    <s v="Maintenance"/>
    <x v="2"/>
    <n v="170000"/>
    <n v="0.02"/>
    <n v="2499000"/>
    <s v="Purchase Order"/>
    <x v="4"/>
    <x v="1"/>
  </r>
  <r>
    <x v="34"/>
    <x v="32"/>
    <x v="9"/>
    <s v="Q1"/>
    <x v="7"/>
    <s v="Logistics"/>
    <s v="Warri"/>
    <x v="3"/>
    <x v="1"/>
    <x v="1"/>
    <s v="Instrumentation"/>
    <x v="13"/>
    <n v="75000"/>
    <n v="0"/>
    <n v="525000"/>
    <s v="Cash"/>
    <x v="2"/>
    <x v="2"/>
  </r>
  <r>
    <x v="35"/>
    <x v="33"/>
    <x v="5"/>
    <s v="Q2"/>
    <x v="7"/>
    <s v="Logistics"/>
    <s v="Warri"/>
    <x v="3"/>
    <x v="12"/>
    <x v="2"/>
    <s v="Maintenance"/>
    <x v="10"/>
    <n v="205000"/>
    <n v="0.1"/>
    <n v="1476000"/>
    <s v="Card"/>
    <x v="2"/>
    <x v="1"/>
  </r>
  <r>
    <x v="36"/>
    <x v="34"/>
    <x v="9"/>
    <s v="Q1"/>
    <x v="16"/>
    <s v="Engineering"/>
    <s v="Warri"/>
    <x v="3"/>
    <x v="9"/>
    <x v="1"/>
    <s v="Valve"/>
    <x v="14"/>
    <n v="134000"/>
    <n v="0.02"/>
    <n v="1313200"/>
    <s v="Purchase Order"/>
    <x v="3"/>
    <x v="1"/>
  </r>
  <r>
    <x v="37"/>
    <x v="35"/>
    <x v="4"/>
    <s v="Q4"/>
    <x v="9"/>
    <s v="Energy"/>
    <s v="Abuja"/>
    <x v="4"/>
    <x v="9"/>
    <x v="1"/>
    <s v="Valve"/>
    <x v="13"/>
    <n v="147000"/>
    <n v="0.1"/>
    <n v="926100"/>
    <s v="Cash"/>
    <x v="0"/>
    <x v="1"/>
  </r>
  <r>
    <x v="38"/>
    <x v="36"/>
    <x v="10"/>
    <s v="Q1"/>
    <x v="17"/>
    <s v="Facilities"/>
    <s v="Lagos"/>
    <x v="1"/>
    <x v="12"/>
    <x v="2"/>
    <s v="Maintenance"/>
    <x v="7"/>
    <n v="172000"/>
    <n v="0"/>
    <n v="172000"/>
    <s v="Card"/>
    <x v="6"/>
    <x v="4"/>
  </r>
  <r>
    <x v="39"/>
    <x v="37"/>
    <x v="9"/>
    <s v="Q1"/>
    <x v="8"/>
    <s v="Environmental"/>
    <s v="Port Harcourt"/>
    <x v="0"/>
    <x v="3"/>
    <x v="1"/>
    <s v="Fabrication"/>
    <x v="5"/>
    <n v="380000"/>
    <n v="0"/>
    <n v="1520000"/>
    <s v="Bank Transfer"/>
    <x v="1"/>
    <x v="3"/>
  </r>
  <r>
    <x v="40"/>
    <x v="38"/>
    <x v="1"/>
    <s v="Q2"/>
    <x v="11"/>
    <s v="Industrial"/>
    <s v="Yenagoa"/>
    <x v="5"/>
    <x v="15"/>
    <x v="2"/>
    <s v="Calibration"/>
    <x v="9"/>
    <n v="103000"/>
    <n v="0"/>
    <n v="206000"/>
    <s v="Purchase Order"/>
    <x v="0"/>
    <x v="1"/>
  </r>
  <r>
    <x v="41"/>
    <x v="39"/>
    <x v="7"/>
    <s v="Q4"/>
    <x v="7"/>
    <s v="Logistics"/>
    <s v="Warri"/>
    <x v="3"/>
    <x v="3"/>
    <x v="1"/>
    <s v="Fabrication"/>
    <x v="10"/>
    <n v="319000"/>
    <n v="0.05"/>
    <n v="2424400"/>
    <s v="Purchase Order"/>
    <x v="5"/>
    <x v="3"/>
  </r>
  <r>
    <x v="42"/>
    <x v="40"/>
    <x v="6"/>
    <s v="Q2"/>
    <x v="17"/>
    <s v="Facilities"/>
    <s v="Lagos"/>
    <x v="1"/>
    <x v="7"/>
    <x v="0"/>
    <s v="Safety"/>
    <x v="11"/>
    <n v="205000"/>
    <n v="0"/>
    <n v="2665000"/>
    <s v="Purchase Order"/>
    <x v="0"/>
    <x v="1"/>
  </r>
  <r>
    <x v="43"/>
    <x v="41"/>
    <x v="10"/>
    <s v="Q1"/>
    <x v="3"/>
    <s v="Energy"/>
    <s v="Port Harcourt"/>
    <x v="0"/>
    <x v="14"/>
    <x v="0"/>
    <s v="PPE"/>
    <x v="8"/>
    <n v="41000"/>
    <n v="0"/>
    <n v="492000"/>
    <s v="Bank Transfer"/>
    <x v="5"/>
    <x v="4"/>
  </r>
  <r>
    <x v="44"/>
    <x v="39"/>
    <x v="7"/>
    <s v="Q4"/>
    <x v="1"/>
    <s v="Marine"/>
    <s v="Bonny"/>
    <x v="0"/>
    <x v="16"/>
    <x v="2"/>
    <s v="Maintenance"/>
    <x v="7"/>
    <n v="142000"/>
    <n v="0.1"/>
    <n v="0"/>
    <s v="Cash"/>
    <x v="1"/>
    <x v="0"/>
  </r>
  <r>
    <x v="45"/>
    <x v="42"/>
    <x v="8"/>
    <s v="Q1"/>
    <x v="10"/>
    <s v="Marine"/>
    <s v="Warri"/>
    <x v="3"/>
    <x v="11"/>
    <x v="3"/>
    <s v="Consumables"/>
    <x v="8"/>
    <n v="25000"/>
    <n v="0"/>
    <n v="300000"/>
    <s v=""/>
    <x v="3"/>
    <x v="2"/>
  </r>
  <r>
    <x v="46"/>
    <x v="43"/>
    <x v="7"/>
    <s v="Q4"/>
    <x v="15"/>
    <s v="Engineering"/>
    <s v="Port Harcourt"/>
    <x v="0"/>
    <x v="5"/>
    <x v="1"/>
    <s v="Electrical"/>
    <x v="1"/>
    <n v="583000"/>
    <n v="0.02"/>
    <n v="3428040"/>
    <s v="Cash"/>
    <x v="6"/>
    <x v="1"/>
  </r>
  <r>
    <x v="47"/>
    <x v="44"/>
    <x v="11"/>
    <s v="Q3"/>
    <x v="8"/>
    <s v="Environmental"/>
    <s v="Port Harcourt"/>
    <x v="0"/>
    <x v="17"/>
    <x v="4"/>
    <s v="Electrical"/>
    <x v="6"/>
    <n v="105000"/>
    <n v="0"/>
    <n v="1155000"/>
    <s v="Po"/>
    <x v="3"/>
    <x v="3"/>
  </r>
  <r>
    <x v="48"/>
    <x v="45"/>
    <x v="8"/>
    <s v="Q1"/>
    <x v="5"/>
    <s v="Oil &amp; Gas Services"/>
    <s v="Lagos"/>
    <x v="1"/>
    <x v="17"/>
    <x v="4"/>
    <s v="Electrical"/>
    <x v="3"/>
    <n v="87000"/>
    <n v="0"/>
    <n v="1218000"/>
    <s v="Purchase Order "/>
    <x v="7"/>
    <x v="1"/>
  </r>
  <r>
    <x v="49"/>
    <x v="46"/>
    <x v="11"/>
    <s v="Q3"/>
    <x v="15"/>
    <s v="Engineering"/>
    <s v="Port Harcourt"/>
    <x v="0"/>
    <x v="5"/>
    <x v="1"/>
    <s v="Electrical"/>
    <x v="2"/>
    <n v="467000"/>
    <n v="0"/>
    <n v="7005000"/>
    <s v="P.O."/>
    <x v="4"/>
    <x v="1"/>
  </r>
  <r>
    <x v="50"/>
    <x v="47"/>
    <x v="1"/>
    <s v="Q2"/>
    <x v="15"/>
    <s v="Engineering"/>
    <s v="Port Harcourt"/>
    <x v="0"/>
    <x v="15"/>
    <x v="2"/>
    <s v="Calibration"/>
    <x v="4"/>
    <n v="91000"/>
    <n v="0"/>
    <n v="455000"/>
    <s v="Cash"/>
    <x v="8"/>
    <x v="2"/>
  </r>
  <r>
    <x v="51"/>
    <x v="48"/>
    <x v="5"/>
    <s v="Q2"/>
    <x v="18"/>
    <s v="Inspection"/>
    <s v="Port Harcourt"/>
    <x v="0"/>
    <x v="16"/>
    <x v="2"/>
    <s v="Maintenance"/>
    <x v="3"/>
    <n v="167000"/>
    <n v="0"/>
    <n v="2338000"/>
    <s v="Purchase Order"/>
    <x v="6"/>
    <x v="3"/>
  </r>
  <r>
    <x v="52"/>
    <x v="49"/>
    <x v="2"/>
    <s v="Q4"/>
    <x v="5"/>
    <s v="Oil &amp; Gas Services"/>
    <s v="Lagos"/>
    <x v="1"/>
    <x v="14"/>
    <x v="0"/>
    <s v="PPE"/>
    <x v="12"/>
    <n v="41000"/>
    <n v="0.05"/>
    <n v="116850"/>
    <s v="Bank Transfer"/>
    <x v="1"/>
    <x v="2"/>
  </r>
  <r>
    <x v="53"/>
    <x v="50"/>
    <x v="4"/>
    <s v="Q4"/>
    <x v="7"/>
    <s v="Logistics"/>
    <s v="Warri"/>
    <x v="3"/>
    <x v="1"/>
    <x v="1"/>
    <s v="Instrumentation"/>
    <x v="8"/>
    <n v="78000"/>
    <n v="0.05"/>
    <n v="889200"/>
    <s v="Card"/>
    <x v="2"/>
    <x v="1"/>
  </r>
  <r>
    <x v="54"/>
    <x v="51"/>
    <x v="4"/>
    <s v="Q4"/>
    <x v="3"/>
    <s v="Energy"/>
    <s v="Port Harcourt"/>
    <x v="0"/>
    <x v="11"/>
    <x v="3"/>
    <s v="Consumables"/>
    <x v="4"/>
    <n v="27000"/>
    <n v="0"/>
    <n v="135000"/>
    <s v="Cash"/>
    <x v="0"/>
    <x v="3"/>
  </r>
  <r>
    <x v="55"/>
    <x v="52"/>
    <x v="11"/>
    <s v="Q3"/>
    <x v="9"/>
    <s v="Energy"/>
    <s v="Abuja"/>
    <x v="4"/>
    <x v="13"/>
    <x v="0"/>
    <s v="PPE"/>
    <x v="1"/>
    <n v="68000"/>
    <n v="0.02"/>
    <n v="399840"/>
    <s v="Purchase Order"/>
    <x v="5"/>
    <x v="1"/>
  </r>
  <r>
    <x v="56"/>
    <x v="53"/>
    <x v="4"/>
    <s v="Q4"/>
    <x v="17"/>
    <s v="Facilities"/>
    <s v="Lagos"/>
    <x v="1"/>
    <x v="4"/>
    <x v="1"/>
    <s v="Pump"/>
    <x v="15"/>
    <n v="616000"/>
    <n v="0"/>
    <n v="6160000"/>
    <s v="Cash"/>
    <x v="7"/>
    <x v="3"/>
  </r>
  <r>
    <x v="57"/>
    <x v="54"/>
    <x v="5"/>
    <s v="Q2"/>
    <x v="14"/>
    <s v="Oil &amp; Gas Services"/>
    <s v="Owerri"/>
    <x v="6"/>
    <x v="14"/>
    <x v="0"/>
    <s v="PPE"/>
    <x v="9"/>
    <n v="39000"/>
    <n v="0"/>
    <n v="78000"/>
    <s v="Card"/>
    <x v="0"/>
    <x v="2"/>
  </r>
  <r>
    <x v="58"/>
    <x v="55"/>
    <x v="1"/>
    <s v="Q2"/>
    <x v="11"/>
    <s v="Industrial"/>
    <s v="Yenagoa"/>
    <x v="5"/>
    <x v="3"/>
    <x v="1"/>
    <s v="Fabrication"/>
    <x v="7"/>
    <n v="395000"/>
    <n v="0"/>
    <n v="0"/>
    <s v="Purchase Order"/>
    <x v="6"/>
    <x v="0"/>
  </r>
  <r>
    <x v="59"/>
    <x v="56"/>
    <x v="2"/>
    <s v="Q4"/>
    <x v="13"/>
    <s v="Energy"/>
    <s v="Abuja"/>
    <x v="4"/>
    <x v="16"/>
    <x v="2"/>
    <s v="Maintenance"/>
    <x v="5"/>
    <n v="171000"/>
    <n v="0"/>
    <n v="684000"/>
    <s v="Transfer"/>
    <x v="0"/>
    <x v="1"/>
  </r>
  <r>
    <x v="60"/>
    <x v="57"/>
    <x v="1"/>
    <s v="Q2"/>
    <x v="9"/>
    <s v="Energy"/>
    <s v="Abuja"/>
    <x v="4"/>
    <x v="2"/>
    <x v="1"/>
    <s v="Valve"/>
    <x v="9"/>
    <n v="234000"/>
    <n v="0"/>
    <n v="468000"/>
    <s v="Cash"/>
    <x v="1"/>
    <x v="2"/>
  </r>
  <r>
    <x v="61"/>
    <x v="58"/>
    <x v="0"/>
    <s v="Q3"/>
    <x v="7"/>
    <s v="Logistics"/>
    <s v="Warri"/>
    <x v="3"/>
    <x v="17"/>
    <x v="4"/>
    <s v="Electrical"/>
    <x v="15"/>
    <n v="98000"/>
    <n v="0"/>
    <n v="0"/>
    <s v="Cash"/>
    <x v="6"/>
    <x v="0"/>
  </r>
  <r>
    <x v="62"/>
    <x v="21"/>
    <x v="8"/>
    <s v="Q1"/>
    <x v="2"/>
    <s v="Procurement"/>
    <s v="Lagos"/>
    <x v="1"/>
    <x v="6"/>
    <x v="1"/>
    <s v="Instrumentation"/>
    <x v="3"/>
    <n v="335000"/>
    <n v="0.02"/>
    <n v="4596200"/>
    <s v="Card"/>
    <x v="4"/>
    <x v="1"/>
  </r>
  <r>
    <x v="63"/>
    <x v="59"/>
    <x v="3"/>
    <s v="Q3"/>
    <x v="2"/>
    <s v="Procurement"/>
    <s v="Lagos"/>
    <x v="1"/>
    <x v="0"/>
    <x v="0"/>
    <s v="PPE"/>
    <x v="10"/>
    <n v="16000"/>
    <n v="0.02"/>
    <n v="125440"/>
    <s v="Purchase Order"/>
    <x v="7"/>
    <x v="1"/>
  </r>
  <r>
    <x v="64"/>
    <x v="60"/>
    <x v="0"/>
    <s v="Q3"/>
    <x v="13"/>
    <s v="Energy"/>
    <s v="Abuja"/>
    <x v="4"/>
    <x v="5"/>
    <x v="1"/>
    <s v="Electrical"/>
    <x v="4"/>
    <n v="588000"/>
    <n v="0.1"/>
    <n v="0"/>
    <s v="Purchase Order"/>
    <x v="0"/>
    <x v="0"/>
  </r>
  <r>
    <x v="65"/>
    <x v="17"/>
    <x v="0"/>
    <s v="Q3"/>
    <x v="4"/>
    <s v="Oil &amp; Gas Services"/>
    <s v="Lagos"/>
    <x v="1"/>
    <x v="12"/>
    <x v="2"/>
    <s v="Maintenance"/>
    <x v="3"/>
    <n v="187000"/>
    <n v="0"/>
    <n v="2618000"/>
    <s v="Bank Transfer"/>
    <x v="4"/>
    <x v="2"/>
  </r>
  <r>
    <x v="66"/>
    <x v="61"/>
    <x v="1"/>
    <s v="Q2"/>
    <x v="1"/>
    <s v="Marine"/>
    <s v="Bonny"/>
    <x v="0"/>
    <x v="11"/>
    <x v="3"/>
    <s v="Consumables"/>
    <x v="9"/>
    <n v="30000"/>
    <n v="0"/>
    <n v="60000"/>
    <s v="Purchase Order"/>
    <x v="0"/>
    <x v="4"/>
  </r>
  <r>
    <x v="67"/>
    <x v="62"/>
    <x v="3"/>
    <s v="Q3"/>
    <x v="14"/>
    <s v="Oil &amp; Gas Services"/>
    <s v="Owerri"/>
    <x v="6"/>
    <x v="12"/>
    <x v="2"/>
    <s v="Maintenance"/>
    <x v="4"/>
    <n v="205000"/>
    <n v="0.05"/>
    <n v="973750"/>
    <s v="Purchase Order"/>
    <x v="2"/>
    <x v="2"/>
  </r>
  <r>
    <x v="68"/>
    <x v="63"/>
    <x v="10"/>
    <s v="Q1"/>
    <x v="3"/>
    <s v="Energy"/>
    <s v="Port Harcourt"/>
    <x v="0"/>
    <x v="6"/>
    <x v="1"/>
    <s v="Instrumentation"/>
    <x v="11"/>
    <n v="285000"/>
    <n v="0.05"/>
    <n v="3519750"/>
    <s v="Card"/>
    <x v="0"/>
    <x v="1"/>
  </r>
  <r>
    <x v="69"/>
    <x v="64"/>
    <x v="9"/>
    <s v="Q1"/>
    <x v="12"/>
    <s v="Engineering"/>
    <s v="Port Harcourt"/>
    <x v="0"/>
    <x v="16"/>
    <x v="2"/>
    <s v="Maintenance"/>
    <x v="15"/>
    <n v="155000"/>
    <n v="0.1"/>
    <n v="1395000"/>
    <s v="Card"/>
    <x v="2"/>
    <x v="1"/>
  </r>
  <r>
    <x v="70"/>
    <x v="65"/>
    <x v="0"/>
    <s v="Q3"/>
    <x v="16"/>
    <s v="Engineering"/>
    <s v="Warri"/>
    <x v="3"/>
    <x v="3"/>
    <x v="1"/>
    <s v="Fabrication"/>
    <x v="15"/>
    <n v="394000"/>
    <n v="0.05"/>
    <n v="3743000"/>
    <s v="Cash"/>
    <x v="3"/>
    <x v="2"/>
  </r>
  <r>
    <x v="71"/>
    <x v="66"/>
    <x v="0"/>
    <s v="Q3"/>
    <x v="18"/>
    <s v="Inspection"/>
    <s v="Port Harcourt"/>
    <x v="0"/>
    <x v="3"/>
    <x v="1"/>
    <s v="Fabrication"/>
    <x v="1"/>
    <n v="353000"/>
    <n v="0"/>
    <n v="2118000"/>
    <s v="Cash"/>
    <x v="0"/>
    <x v="1"/>
  </r>
  <r>
    <x v="72"/>
    <x v="67"/>
    <x v="11"/>
    <s v="Q3"/>
    <x v="6"/>
    <s v="Industrial"/>
    <s v="Uyo"/>
    <x v="2"/>
    <x v="9"/>
    <x v="1"/>
    <s v="Valve"/>
    <x v="0"/>
    <n v="149000"/>
    <n v="0.1"/>
    <n v="1206900"/>
    <s v="Purchase Order"/>
    <x v="1"/>
    <x v="1"/>
  </r>
  <r>
    <x v="73"/>
    <x v="68"/>
    <x v="1"/>
    <s v="Q2"/>
    <x v="5"/>
    <s v="Oil &amp; Gas Services"/>
    <s v="Lagos"/>
    <x v="1"/>
    <x v="0"/>
    <x v="0"/>
    <s v="PPE"/>
    <x v="11"/>
    <n v="17000"/>
    <n v="0.02"/>
    <n v="216580"/>
    <s v="Bank Transfer"/>
    <x v="5"/>
    <x v="4"/>
  </r>
  <r>
    <x v="74"/>
    <x v="40"/>
    <x v="6"/>
    <s v="Q2"/>
    <x v="6"/>
    <s v="Industrial"/>
    <s v="Uyo"/>
    <x v="2"/>
    <x v="1"/>
    <x v="1"/>
    <s v="Instrumentation"/>
    <x v="11"/>
    <n v="96000"/>
    <n v="0.02"/>
    <n v="1223040"/>
    <s v="Cash"/>
    <x v="3"/>
    <x v="2"/>
  </r>
  <r>
    <x v="75"/>
    <x v="69"/>
    <x v="4"/>
    <s v="Q4"/>
    <x v="18"/>
    <s v="Inspection"/>
    <s v="Port Harcourt"/>
    <x v="0"/>
    <x v="12"/>
    <x v="2"/>
    <s v="Maintenance"/>
    <x v="6"/>
    <n v="175000"/>
    <n v="0.1"/>
    <n v="1732500"/>
    <s v="Cash"/>
    <x v="6"/>
    <x v="2"/>
  </r>
  <r>
    <x v="76"/>
    <x v="70"/>
    <x v="8"/>
    <s v="Q1"/>
    <x v="16"/>
    <s v="Engineering"/>
    <s v="Warri"/>
    <x v="3"/>
    <x v="15"/>
    <x v="2"/>
    <s v="Calibration"/>
    <x v="1"/>
    <n v="109000"/>
    <n v="0"/>
    <n v="654000"/>
    <s v="Purchase Order"/>
    <x v="0"/>
    <x v="2"/>
  </r>
  <r>
    <x v="77"/>
    <x v="71"/>
    <x v="0"/>
    <s v="Q3"/>
    <x v="5"/>
    <s v="Oil &amp; Gas Services"/>
    <s v="Lagos"/>
    <x v="1"/>
    <x v="14"/>
    <x v="0"/>
    <s v="PPE"/>
    <x v="0"/>
    <n v="45000"/>
    <n v="0.05"/>
    <n v="0"/>
    <s v="Card"/>
    <x v="2"/>
    <x v="0"/>
  </r>
  <r>
    <x v="78"/>
    <x v="72"/>
    <x v="6"/>
    <s v="Q2"/>
    <x v="18"/>
    <s v="Inspection"/>
    <s v="Port Harcourt"/>
    <x v="0"/>
    <x v="17"/>
    <x v="4"/>
    <s v="Electrical"/>
    <x v="6"/>
    <n v="104000"/>
    <n v="0.05"/>
    <n v="1086800"/>
    <s v="P.O."/>
    <x v="6"/>
    <x v="1"/>
  </r>
  <r>
    <x v="79"/>
    <x v="73"/>
    <x v="10"/>
    <s v="Q1"/>
    <x v="6"/>
    <s v="Industrial"/>
    <s v="Uyo"/>
    <x v="2"/>
    <x v="9"/>
    <x v="1"/>
    <s v="Valve"/>
    <x v="10"/>
    <n v="135000"/>
    <n v="0"/>
    <n v="1080000"/>
    <s v="Cash"/>
    <x v="5"/>
    <x v="2"/>
  </r>
  <r>
    <x v="80"/>
    <x v="74"/>
    <x v="4"/>
    <s v="Q4"/>
    <x v="16"/>
    <s v="Engineering"/>
    <s v="Warri"/>
    <x v="3"/>
    <x v="6"/>
    <x v="1"/>
    <s v="Instrumentation"/>
    <x v="11"/>
    <n v="287000"/>
    <n v="0.02"/>
    <n v="0"/>
    <s v="Card"/>
    <x v="5"/>
    <x v="0"/>
  </r>
  <r>
    <x v="81"/>
    <x v="75"/>
    <x v="4"/>
    <s v="Q4"/>
    <x v="5"/>
    <s v="Oil &amp; Gas Services"/>
    <s v="Lagos"/>
    <x v="1"/>
    <x v="9"/>
    <x v="1"/>
    <s v="Valve"/>
    <x v="4"/>
    <n v="151000"/>
    <n v="0.05"/>
    <n v="717250"/>
    <s v="Bank Transfer"/>
    <x v="7"/>
    <x v="1"/>
  </r>
  <r>
    <x v="82"/>
    <x v="76"/>
    <x v="4"/>
    <s v="Q4"/>
    <x v="15"/>
    <s v="Engineering"/>
    <s v="Port Harcourt"/>
    <x v="0"/>
    <x v="11"/>
    <x v="3"/>
    <s v="Consumables"/>
    <x v="13"/>
    <n v="27000"/>
    <n v="0.02"/>
    <n v="185220"/>
    <s v="Purchase Order"/>
    <x v="3"/>
    <x v="3"/>
  </r>
  <r>
    <x v="83"/>
    <x v="77"/>
    <x v="3"/>
    <s v="Q3"/>
    <x v="10"/>
    <s v="Marine"/>
    <s v="Warri"/>
    <x v="3"/>
    <x v="0"/>
    <x v="0"/>
    <s v="PPE"/>
    <x v="15"/>
    <n v="19000"/>
    <n v="0"/>
    <n v="190000"/>
    <s v="Cash"/>
    <x v="2"/>
    <x v="1"/>
  </r>
  <r>
    <x v="84"/>
    <x v="78"/>
    <x v="6"/>
    <s v="Q2"/>
    <x v="17"/>
    <s v="Facilities"/>
    <s v="Lagos"/>
    <x v="1"/>
    <x v="9"/>
    <x v="1"/>
    <s v="Valve"/>
    <x v="5"/>
    <n v="139000"/>
    <n v="0"/>
    <n v="0"/>
    <s v="Cash"/>
    <x v="2"/>
    <x v="0"/>
  </r>
  <r>
    <x v="85"/>
    <x v="79"/>
    <x v="3"/>
    <s v="Q3"/>
    <x v="10"/>
    <s v="Marine"/>
    <s v="Warri"/>
    <x v="3"/>
    <x v="9"/>
    <x v="1"/>
    <s v="Valve"/>
    <x v="10"/>
    <n v="164000"/>
    <n v="0.1"/>
    <n v="1180800"/>
    <s v="Bank Transfer"/>
    <x v="8"/>
    <x v="1"/>
  </r>
  <r>
    <x v="86"/>
    <x v="80"/>
    <x v="8"/>
    <s v="Q1"/>
    <x v="7"/>
    <s v="Logistics"/>
    <s v="Warri"/>
    <x v="3"/>
    <x v="14"/>
    <x v="0"/>
    <s v="PPE"/>
    <x v="6"/>
    <n v="44000"/>
    <n v="0.1"/>
    <n v="0"/>
    <s v="Bank Transfer"/>
    <x v="7"/>
    <x v="0"/>
  </r>
  <r>
    <x v="87"/>
    <x v="81"/>
    <x v="1"/>
    <s v="Q2"/>
    <x v="10"/>
    <s v="Marine"/>
    <s v="Warri"/>
    <x v="3"/>
    <x v="14"/>
    <x v="0"/>
    <s v="PPE"/>
    <x v="6"/>
    <n v="37000"/>
    <n v="0.02"/>
    <n v="398860"/>
    <s v="Card"/>
    <x v="4"/>
    <x v="1"/>
  </r>
  <r>
    <x v="88"/>
    <x v="82"/>
    <x v="5"/>
    <s v="Q2"/>
    <x v="11"/>
    <s v="Industrial"/>
    <s v="Yenagoa"/>
    <x v="5"/>
    <x v="16"/>
    <x v="2"/>
    <s v="Maintenance"/>
    <x v="8"/>
    <n v="152000"/>
    <n v="0.05"/>
    <n v="1732800"/>
    <s v="Cash"/>
    <x v="3"/>
    <x v="1"/>
  </r>
  <r>
    <x v="89"/>
    <x v="83"/>
    <x v="11"/>
    <s v="Q3"/>
    <x v="19"/>
    <s v="Marine"/>
    <s v="Bonny"/>
    <x v="0"/>
    <x v="3"/>
    <x v="1"/>
    <s v="Fabrication"/>
    <x v="16"/>
    <n v="327000"/>
    <n v="0.05"/>
    <n v="3417150"/>
    <s v="Card"/>
    <x v="0"/>
    <x v="1"/>
  </r>
  <r>
    <x v="90"/>
    <x v="84"/>
    <x v="5"/>
    <s v="Q2"/>
    <x v="8"/>
    <s v="Environmental"/>
    <s v="Port Harcourt"/>
    <x v="0"/>
    <x v="3"/>
    <x v="1"/>
    <s v="Fabrication"/>
    <x v="9"/>
    <n v="400000"/>
    <n v="0"/>
    <n v="0"/>
    <s v="Cash"/>
    <x v="1"/>
    <x v="0"/>
  </r>
  <r>
    <x v="91"/>
    <x v="85"/>
    <x v="5"/>
    <s v="Q2"/>
    <x v="16"/>
    <s v="Engineering"/>
    <s v="Warri"/>
    <x v="3"/>
    <x v="8"/>
    <x v="2"/>
    <s v="Inspection"/>
    <x v="0"/>
    <n v="122000"/>
    <n v="0.02"/>
    <n v="1076040"/>
    <s v="Cash"/>
    <x v="0"/>
    <x v="1"/>
  </r>
  <r>
    <x v="92"/>
    <x v="86"/>
    <x v="0"/>
    <s v="Q3"/>
    <x v="6"/>
    <s v="Industrial"/>
    <s v="Uyo"/>
    <x v="2"/>
    <x v="0"/>
    <x v="0"/>
    <s v="PPE"/>
    <x v="0"/>
    <n v="20000"/>
    <n v="0.05"/>
    <n v="171000"/>
    <s v="Card"/>
    <x v="3"/>
    <x v="2"/>
  </r>
  <r>
    <x v="93"/>
    <x v="87"/>
    <x v="6"/>
    <s v="Q2"/>
    <x v="7"/>
    <s v="Logistics"/>
    <s v="Warri"/>
    <x v="3"/>
    <x v="4"/>
    <x v="1"/>
    <s v="Pump"/>
    <x v="11"/>
    <n v="713000"/>
    <n v="0"/>
    <n v="9269000"/>
    <s v="Card"/>
    <x v="4"/>
    <x v="1"/>
  </r>
  <r>
    <x v="94"/>
    <x v="88"/>
    <x v="3"/>
    <s v="Q3"/>
    <x v="2"/>
    <s v="Procurement"/>
    <s v="Lagos"/>
    <x v="1"/>
    <x v="2"/>
    <x v="1"/>
    <s v="Valve"/>
    <x v="6"/>
    <n v="223000"/>
    <n v="0"/>
    <n v="2453000"/>
    <s v="Cash"/>
    <x v="5"/>
    <x v="1"/>
  </r>
  <r>
    <x v="95"/>
    <x v="89"/>
    <x v="2"/>
    <s v="Q4"/>
    <x v="9"/>
    <s v="Energy"/>
    <s v="Abuja"/>
    <x v="4"/>
    <x v="5"/>
    <x v="1"/>
    <s v="Electrical"/>
    <x v="6"/>
    <n v="542000"/>
    <n v="0.1"/>
    <n v="5365800"/>
    <s v="Bank Transfer"/>
    <x v="3"/>
    <x v="4"/>
  </r>
  <r>
    <x v="96"/>
    <x v="90"/>
    <x v="11"/>
    <s v="Q3"/>
    <x v="15"/>
    <s v="Engineering"/>
    <s v="Port Harcourt"/>
    <x v="0"/>
    <x v="14"/>
    <x v="0"/>
    <s v="PPE"/>
    <x v="12"/>
    <n v="44000"/>
    <n v="0"/>
    <n v="132000"/>
    <s v="Cash"/>
    <x v="3"/>
    <x v="4"/>
  </r>
  <r>
    <x v="97"/>
    <x v="91"/>
    <x v="11"/>
    <s v="Q3"/>
    <x v="15"/>
    <s v="Engineering"/>
    <s v="Port Harcourt"/>
    <x v="0"/>
    <x v="9"/>
    <x v="1"/>
    <s v="Valve"/>
    <x v="11"/>
    <n v="156000"/>
    <n v="0.02"/>
    <n v="1987440"/>
    <s v="Cash"/>
    <x v="7"/>
    <x v="1"/>
  </r>
  <r>
    <x v="98"/>
    <x v="92"/>
    <x v="2"/>
    <s v="Q4"/>
    <x v="0"/>
    <s v="Oil &amp; Gas Services"/>
    <s v="Port Harcourt"/>
    <x v="0"/>
    <x v="8"/>
    <x v="2"/>
    <s v="Inspection"/>
    <x v="4"/>
    <n v="109000"/>
    <n v="0.05"/>
    <n v="517750"/>
    <s v="Bank Transfer"/>
    <x v="4"/>
    <x v="2"/>
  </r>
  <r>
    <x v="99"/>
    <x v="93"/>
    <x v="9"/>
    <s v="Q1"/>
    <x v="0"/>
    <s v="Oil &amp; Gas Services"/>
    <s v="Port Harcourt"/>
    <x v="0"/>
    <x v="16"/>
    <x v="2"/>
    <s v="Maintenance"/>
    <x v="0"/>
    <n v="165000"/>
    <n v="0.1"/>
    <n v="1336500"/>
    <s v="Bank Transfer"/>
    <x v="3"/>
    <x v="1"/>
  </r>
  <r>
    <x v="100"/>
    <x v="94"/>
    <x v="7"/>
    <s v="Q4"/>
    <x v="20"/>
    <s v="HSE"/>
    <s v="Port Harcourt"/>
    <x v="0"/>
    <x v="11"/>
    <x v="3"/>
    <s v="Consumables"/>
    <x v="6"/>
    <n v="31000"/>
    <n v="0.05"/>
    <n v="0"/>
    <s v="Bank Transfer"/>
    <x v="0"/>
    <x v="0"/>
  </r>
  <r>
    <x v="101"/>
    <x v="95"/>
    <x v="6"/>
    <s v="Q2"/>
    <x v="6"/>
    <s v="Industrial"/>
    <s v="Uyo"/>
    <x v="2"/>
    <x v="12"/>
    <x v="2"/>
    <s v="Maintenance"/>
    <x v="5"/>
    <n v="191000"/>
    <n v="0.02"/>
    <n v="748720"/>
    <s v="Cash"/>
    <x v="6"/>
    <x v="1"/>
  </r>
  <r>
    <x v="102"/>
    <x v="96"/>
    <x v="9"/>
    <s v="Q1"/>
    <x v="3"/>
    <s v="Energy"/>
    <s v="Port Harcourt"/>
    <x v="0"/>
    <x v="7"/>
    <x v="0"/>
    <s v="Safety"/>
    <x v="7"/>
    <n v="205000"/>
    <n v="0.02"/>
    <n v="200900"/>
    <s v="Cash"/>
    <x v="4"/>
    <x v="4"/>
  </r>
  <r>
    <x v="103"/>
    <x v="97"/>
    <x v="0"/>
    <s v="Q3"/>
    <x v="16"/>
    <s v="Engineering"/>
    <s v="Warri"/>
    <x v="3"/>
    <x v="14"/>
    <x v="0"/>
    <s v="PPE"/>
    <x v="10"/>
    <n v="43000"/>
    <n v="0.1"/>
    <n v="309600"/>
    <s v="Purchase Order"/>
    <x v="1"/>
    <x v="1"/>
  </r>
  <r>
    <x v="104"/>
    <x v="14"/>
    <x v="8"/>
    <s v="Q1"/>
    <x v="13"/>
    <s v="Energy"/>
    <s v="Abuja"/>
    <x v="4"/>
    <x v="5"/>
    <x v="1"/>
    <s v="Electrical"/>
    <x v="3"/>
    <n v="538000"/>
    <n v="0.1"/>
    <n v="6778800"/>
    <s v="Card"/>
    <x v="2"/>
    <x v="3"/>
  </r>
  <r>
    <x v="105"/>
    <x v="98"/>
    <x v="11"/>
    <s v="Q3"/>
    <x v="16"/>
    <s v="Engineering"/>
    <s v="Warri"/>
    <x v="3"/>
    <x v="10"/>
    <x v="1"/>
    <s v="Pump"/>
    <x v="1"/>
    <n v="381000"/>
    <n v="0.02"/>
    <n v="2240280"/>
    <s v="Card"/>
    <x v="6"/>
    <x v="1"/>
  </r>
  <r>
    <x v="106"/>
    <x v="99"/>
    <x v="10"/>
    <s v="Q1"/>
    <x v="11"/>
    <s v="Industrial"/>
    <s v="Yenagoa"/>
    <x v="5"/>
    <x v="17"/>
    <x v="4"/>
    <s v="Electrical"/>
    <x v="7"/>
    <n v="108000"/>
    <n v="0"/>
    <n v="108000"/>
    <s v="Cash"/>
    <x v="5"/>
    <x v="2"/>
  </r>
  <r>
    <x v="107"/>
    <x v="100"/>
    <x v="1"/>
    <s v="Q2"/>
    <x v="20"/>
    <s v="HSE"/>
    <s v="Port Harcourt"/>
    <x v="0"/>
    <x v="7"/>
    <x v="0"/>
    <s v="Safety"/>
    <x v="11"/>
    <n v="206000"/>
    <n v="0.05"/>
    <n v="2544100"/>
    <s v="Transfer"/>
    <x v="3"/>
    <x v="3"/>
  </r>
  <r>
    <x v="108"/>
    <x v="101"/>
    <x v="9"/>
    <s v="Q1"/>
    <x v="7"/>
    <s v="Logistics"/>
    <s v="Warri"/>
    <x v="3"/>
    <x v="2"/>
    <x v="1"/>
    <s v="Valve"/>
    <x v="6"/>
    <n v="243000"/>
    <n v="0.02"/>
    <n v="2619540"/>
    <s v="Po"/>
    <x v="5"/>
    <x v="1"/>
  </r>
  <r>
    <x v="109"/>
    <x v="102"/>
    <x v="10"/>
    <s v="Q1"/>
    <x v="6"/>
    <s v="Industrial"/>
    <s v="Uyo"/>
    <x v="2"/>
    <x v="1"/>
    <x v="1"/>
    <s v="Instrumentation"/>
    <x v="10"/>
    <n v="83000"/>
    <n v="0.05"/>
    <n v="630800"/>
    <s v="Cash"/>
    <x v="7"/>
    <x v="2"/>
  </r>
  <r>
    <x v="110"/>
    <x v="103"/>
    <x v="2"/>
    <s v="Q4"/>
    <x v="0"/>
    <s v="Oil &amp; Gas Services"/>
    <s v="Port Harcourt"/>
    <x v="0"/>
    <x v="9"/>
    <x v="1"/>
    <s v="Valve"/>
    <x v="0"/>
    <n v="156000"/>
    <n v="0"/>
    <n v="1404000"/>
    <s v="Purchase Order"/>
    <x v="0"/>
    <x v="1"/>
  </r>
  <r>
    <x v="111"/>
    <x v="104"/>
    <x v="8"/>
    <s v="Q1"/>
    <x v="18"/>
    <s v="Inspection"/>
    <s v="Port Harcourt"/>
    <x v="0"/>
    <x v="4"/>
    <x v="1"/>
    <s v="Pump"/>
    <x v="2"/>
    <n v="654000"/>
    <n v="0.1"/>
    <n v="8829000"/>
    <s v="Purchase Order "/>
    <x v="7"/>
    <x v="2"/>
  </r>
  <r>
    <x v="112"/>
    <x v="105"/>
    <x v="3"/>
    <s v="Q3"/>
    <x v="8"/>
    <s v="Environmental"/>
    <s v="Port Harcourt"/>
    <x v="0"/>
    <x v="4"/>
    <x v="1"/>
    <s v="Pump"/>
    <x v="15"/>
    <n v="603000"/>
    <n v="0"/>
    <n v="6030000"/>
    <s v="Purchase Order"/>
    <x v="6"/>
    <x v="2"/>
  </r>
  <r>
    <x v="113"/>
    <x v="106"/>
    <x v="4"/>
    <s v="Q4"/>
    <x v="1"/>
    <s v="Marine"/>
    <s v="Bonny"/>
    <x v="0"/>
    <x v="11"/>
    <x v="3"/>
    <s v="Consumables"/>
    <x v="11"/>
    <n v="30000"/>
    <n v="0.05"/>
    <n v="370500"/>
    <s v="Cash"/>
    <x v="0"/>
    <x v="4"/>
  </r>
  <r>
    <x v="114"/>
    <x v="98"/>
    <x v="11"/>
    <s v="Q3"/>
    <x v="1"/>
    <s v="Marine"/>
    <s v="Bonny"/>
    <x v="0"/>
    <x v="6"/>
    <x v="1"/>
    <s v="Instrumentation"/>
    <x v="5"/>
    <n v="274000"/>
    <n v="0"/>
    <n v="1096000"/>
    <s v="Purchase Order"/>
    <x v="4"/>
    <x v="1"/>
  </r>
  <r>
    <x v="115"/>
    <x v="21"/>
    <x v="8"/>
    <s v="Q1"/>
    <x v="7"/>
    <s v="Logistics"/>
    <s v="Warri"/>
    <x v="3"/>
    <x v="4"/>
    <x v="1"/>
    <s v="Pump"/>
    <x v="6"/>
    <n v="755000"/>
    <n v="0.1"/>
    <n v="7474500"/>
    <s v="Card"/>
    <x v="5"/>
    <x v="4"/>
  </r>
  <r>
    <x v="116"/>
    <x v="107"/>
    <x v="4"/>
    <s v="Q4"/>
    <x v="15"/>
    <s v="Engineering"/>
    <s v="Port Harcourt"/>
    <x v="0"/>
    <x v="5"/>
    <x v="1"/>
    <s v="Electrical"/>
    <x v="13"/>
    <n v="477000"/>
    <n v="0.05"/>
    <n v="3172050"/>
    <s v="Card"/>
    <x v="6"/>
    <x v="1"/>
  </r>
  <r>
    <x v="117"/>
    <x v="108"/>
    <x v="2"/>
    <s v="Q4"/>
    <x v="4"/>
    <s v="Oil &amp; Gas Services"/>
    <s v="Lagos"/>
    <x v="1"/>
    <x v="7"/>
    <x v="0"/>
    <s v="Safety"/>
    <x v="3"/>
    <n v="190000"/>
    <n v="0.05"/>
    <n v="2527000"/>
    <s v="Bank Transfer"/>
    <x v="7"/>
    <x v="1"/>
  </r>
  <r>
    <x v="118"/>
    <x v="109"/>
    <x v="3"/>
    <s v="Q3"/>
    <x v="13"/>
    <s v="Energy"/>
    <s v="Abuja"/>
    <x v="4"/>
    <x v="13"/>
    <x v="0"/>
    <s v="PPE"/>
    <x v="10"/>
    <n v="76000"/>
    <n v="0.1"/>
    <n v="547200"/>
    <s v="Cash"/>
    <x v="4"/>
    <x v="2"/>
  </r>
  <r>
    <x v="119"/>
    <x v="110"/>
    <x v="7"/>
    <s v="Q4"/>
    <x v="8"/>
    <s v="Environmental"/>
    <s v="Port Harcourt"/>
    <x v="0"/>
    <x v="5"/>
    <x v="1"/>
    <s v="Electrical"/>
    <x v="6"/>
    <n v="516000"/>
    <n v="0"/>
    <n v="5676000"/>
    <s v="Bank Transfer"/>
    <x v="2"/>
    <x v="3"/>
  </r>
  <r>
    <x v="120"/>
    <x v="20"/>
    <x v="0"/>
    <s v="Q3"/>
    <x v="18"/>
    <s v="Inspection"/>
    <s v="Port Harcourt"/>
    <x v="0"/>
    <x v="15"/>
    <x v="2"/>
    <s v="Calibration"/>
    <x v="11"/>
    <n v="106000"/>
    <n v="0"/>
    <n v="1378000"/>
    <s v="Card"/>
    <x v="6"/>
    <x v="3"/>
  </r>
  <r>
    <x v="121"/>
    <x v="111"/>
    <x v="5"/>
    <s v="Q2"/>
    <x v="10"/>
    <s v="Marine"/>
    <s v="Warri"/>
    <x v="3"/>
    <x v="15"/>
    <x v="2"/>
    <s v="Calibration"/>
    <x v="13"/>
    <n v="84000"/>
    <n v="0.05"/>
    <n v="558600"/>
    <s v="Card"/>
    <x v="1"/>
    <x v="1"/>
  </r>
  <r>
    <x v="122"/>
    <x v="112"/>
    <x v="3"/>
    <s v="Q3"/>
    <x v="6"/>
    <s v="Industrial"/>
    <s v="Uyo"/>
    <x v="2"/>
    <x v="1"/>
    <x v="1"/>
    <s v="Instrumentation"/>
    <x v="15"/>
    <n v="90000"/>
    <n v="0"/>
    <n v="0"/>
    <s v="Cash"/>
    <x v="5"/>
    <x v="0"/>
  </r>
  <r>
    <x v="123"/>
    <x v="1"/>
    <x v="1"/>
    <s v="Q2"/>
    <x v="10"/>
    <s v="Marine"/>
    <s v="Warri"/>
    <x v="3"/>
    <x v="15"/>
    <x v="2"/>
    <s v="Calibration"/>
    <x v="4"/>
    <n v="89000"/>
    <n v="0.1"/>
    <n v="400500"/>
    <s v="Purchase Order"/>
    <x v="6"/>
    <x v="3"/>
  </r>
  <r>
    <x v="124"/>
    <x v="113"/>
    <x v="8"/>
    <s v="Q1"/>
    <x v="1"/>
    <s v="Marine"/>
    <s v="Bonny"/>
    <x v="0"/>
    <x v="11"/>
    <x v="3"/>
    <s v="Consumables"/>
    <x v="9"/>
    <n v="31000"/>
    <n v="0"/>
    <n v="62000"/>
    <s v="Purchase Order"/>
    <x v="7"/>
    <x v="1"/>
  </r>
  <r>
    <x v="125"/>
    <x v="114"/>
    <x v="2"/>
    <s v="Q4"/>
    <x v="12"/>
    <s v="Engineering"/>
    <s v="Port Harcourt"/>
    <x v="0"/>
    <x v="0"/>
    <x v="0"/>
    <s v="PPE"/>
    <x v="6"/>
    <n v="18000"/>
    <n v="0"/>
    <n v="198000"/>
    <s v=" Bank Transfer "/>
    <x v="2"/>
    <x v="1"/>
  </r>
  <r>
    <x v="126"/>
    <x v="70"/>
    <x v="8"/>
    <s v="Q1"/>
    <x v="15"/>
    <s v="Engineering"/>
    <s v="Port Harcourt"/>
    <x v="0"/>
    <x v="4"/>
    <x v="1"/>
    <s v="Pump"/>
    <x v="1"/>
    <n v="762000"/>
    <n v="0.02"/>
    <n v="0"/>
    <s v="Purchase Order "/>
    <x v="0"/>
    <x v="0"/>
  </r>
  <r>
    <x v="127"/>
    <x v="115"/>
    <x v="5"/>
    <s v="Q2"/>
    <x v="4"/>
    <s v="Oil &amp; Gas Services"/>
    <s v="Lagos"/>
    <x v="1"/>
    <x v="10"/>
    <x v="1"/>
    <s v="Pump"/>
    <x v="15"/>
    <n v="380000"/>
    <n v="0.02"/>
    <n v="3724000"/>
    <s v="Po"/>
    <x v="2"/>
    <x v="1"/>
  </r>
  <r>
    <x v="128"/>
    <x v="116"/>
    <x v="3"/>
    <s v="Q3"/>
    <x v="0"/>
    <s v="Oil &amp; Gas Services"/>
    <s v="Port Harcourt"/>
    <x v="0"/>
    <x v="17"/>
    <x v="4"/>
    <s v="Electrical"/>
    <x v="7"/>
    <n v="98000"/>
    <n v="0.05"/>
    <n v="93100"/>
    <s v="Cash"/>
    <x v="5"/>
    <x v="4"/>
  </r>
  <r>
    <x v="129"/>
    <x v="65"/>
    <x v="0"/>
    <s v="Q3"/>
    <x v="16"/>
    <s v="Engineering"/>
    <s v="Warri"/>
    <x v="3"/>
    <x v="13"/>
    <x v="0"/>
    <s v="PPE"/>
    <x v="1"/>
    <n v="78000"/>
    <n v="0.02"/>
    <n v="458640"/>
    <s v="Cash"/>
    <x v="3"/>
    <x v="1"/>
  </r>
  <r>
    <x v="130"/>
    <x v="60"/>
    <x v="0"/>
    <s v="Q3"/>
    <x v="5"/>
    <s v="Oil &amp; Gas Services"/>
    <s v="Lagos"/>
    <x v="1"/>
    <x v="15"/>
    <x v="2"/>
    <s v="Calibration"/>
    <x v="7"/>
    <n v="85000"/>
    <n v="0.05"/>
    <n v="0"/>
    <s v="Bank Transfer"/>
    <x v="3"/>
    <x v="0"/>
  </r>
  <r>
    <x v="131"/>
    <x v="117"/>
    <x v="1"/>
    <s v="Q2"/>
    <x v="19"/>
    <s v="Oil &amp; Gas Services"/>
    <s v="Port Harcourt"/>
    <x v="0"/>
    <x v="0"/>
    <x v="0"/>
    <s v="PPE"/>
    <x v="4"/>
    <n v="19000"/>
    <n v="0.02"/>
    <n v="93100"/>
    <s v="Cash"/>
    <x v="7"/>
    <x v="1"/>
  </r>
  <r>
    <x v="132"/>
    <x v="118"/>
    <x v="5"/>
    <s v="Q2"/>
    <x v="2"/>
    <s v="Procurement"/>
    <s v="Lagos"/>
    <x v="1"/>
    <x v="6"/>
    <x v="1"/>
    <s v="Instrumentation"/>
    <x v="10"/>
    <n v="277000"/>
    <n v="0"/>
    <n v="2216000"/>
    <s v=""/>
    <x v="5"/>
    <x v="1"/>
  </r>
  <r>
    <x v="133"/>
    <x v="119"/>
    <x v="5"/>
    <s v="Q2"/>
    <x v="16"/>
    <s v="Engineering"/>
    <s v="Warri"/>
    <x v="3"/>
    <x v="7"/>
    <x v="0"/>
    <s v="Safety"/>
    <x v="5"/>
    <n v="219000"/>
    <n v="0"/>
    <n v="876000"/>
    <s v="Cash"/>
    <x v="1"/>
    <x v="1"/>
  </r>
  <r>
    <x v="134"/>
    <x v="120"/>
    <x v="9"/>
    <s v="Q1"/>
    <x v="2"/>
    <s v="Procurement"/>
    <s v="Lagos"/>
    <x v="1"/>
    <x v="3"/>
    <x v="1"/>
    <s v="Fabrication"/>
    <x v="1"/>
    <n v="359000"/>
    <n v="0"/>
    <n v="2154000"/>
    <s v="Bank Transfer"/>
    <x v="0"/>
    <x v="3"/>
  </r>
  <r>
    <x v="135"/>
    <x v="121"/>
    <x v="5"/>
    <s v="Q2"/>
    <x v="16"/>
    <s v="Engineering"/>
    <s v="Warri"/>
    <x v="3"/>
    <x v="5"/>
    <x v="1"/>
    <s v="Electrical"/>
    <x v="12"/>
    <n v="589000"/>
    <n v="0.02"/>
    <n v="0"/>
    <s v="Bank Transfer"/>
    <x v="6"/>
    <x v="0"/>
  </r>
  <r>
    <x v="136"/>
    <x v="122"/>
    <x v="7"/>
    <s v="Q4"/>
    <x v="17"/>
    <s v="Facilities"/>
    <s v="Lagos"/>
    <x v="1"/>
    <x v="16"/>
    <x v="2"/>
    <s v="Maintenance"/>
    <x v="4"/>
    <n v="141000"/>
    <n v="0"/>
    <n v="705000"/>
    <s v="Cash"/>
    <x v="7"/>
    <x v="1"/>
  </r>
  <r>
    <x v="137"/>
    <x v="123"/>
    <x v="0"/>
    <s v="Q3"/>
    <x v="13"/>
    <s v="Energy"/>
    <s v="Abuja"/>
    <x v="4"/>
    <x v="0"/>
    <x v="0"/>
    <s v="PPE"/>
    <x v="13"/>
    <n v="17000"/>
    <n v="0.05"/>
    <n v="113050"/>
    <s v="Card"/>
    <x v="5"/>
    <x v="1"/>
  </r>
  <r>
    <x v="138"/>
    <x v="124"/>
    <x v="0"/>
    <s v="Q3"/>
    <x v="11"/>
    <s v="Industrial"/>
    <s v="Yenagoa"/>
    <x v="5"/>
    <x v="8"/>
    <x v="2"/>
    <s v="Inspection"/>
    <x v="6"/>
    <n v="134000"/>
    <n v="0.02"/>
    <n v="0"/>
    <s v="Purchase Order"/>
    <x v="0"/>
    <x v="0"/>
  </r>
  <r>
    <x v="139"/>
    <x v="125"/>
    <x v="2"/>
    <s v="Q4"/>
    <x v="7"/>
    <s v="Logistics"/>
    <s v="Warri"/>
    <x v="3"/>
    <x v="12"/>
    <x v="2"/>
    <s v="Maintenance"/>
    <x v="2"/>
    <n v="165000"/>
    <n v="0"/>
    <n v="2425500"/>
    <s v="Purchase Order"/>
    <x v="3"/>
    <x v="2"/>
  </r>
  <r>
    <x v="140"/>
    <x v="126"/>
    <x v="8"/>
    <s v="Q1"/>
    <x v="0"/>
    <s v="Oil &amp; Gas Services"/>
    <s v="Port Harcourt"/>
    <x v="0"/>
    <x v="9"/>
    <x v="1"/>
    <s v="Valve"/>
    <x v="3"/>
    <n v="163000"/>
    <n v="0.02"/>
    <n v="2236360"/>
    <s v="Bank Transfer"/>
    <x v="5"/>
    <x v="1"/>
  </r>
  <r>
    <x v="141"/>
    <x v="127"/>
    <x v="6"/>
    <s v="Q2"/>
    <x v="14"/>
    <s v="Oil &amp; Gas Services"/>
    <s v="Owerri"/>
    <x v="6"/>
    <x v="8"/>
    <x v="2"/>
    <s v="Inspection"/>
    <x v="10"/>
    <n v="114000"/>
    <n v="0.02"/>
    <n v="893760"/>
    <s v="Bank Transfer"/>
    <x v="5"/>
    <x v="1"/>
  </r>
  <r>
    <x v="142"/>
    <x v="0"/>
    <x v="0"/>
    <s v="Q3"/>
    <x v="2"/>
    <s v="Procurement"/>
    <s v="Lagos"/>
    <x v="1"/>
    <x v="12"/>
    <x v="2"/>
    <s v="Maintenance"/>
    <x v="13"/>
    <n v="187000"/>
    <n v="0.05"/>
    <n v="1243550"/>
    <s v="Bank Transfer"/>
    <x v="6"/>
    <x v="2"/>
  </r>
  <r>
    <x v="143"/>
    <x v="128"/>
    <x v="0"/>
    <s v="Q3"/>
    <x v="18"/>
    <s v="Inspection"/>
    <s v="Port Harcourt"/>
    <x v="0"/>
    <x v="0"/>
    <x v="0"/>
    <s v="PPE"/>
    <x v="8"/>
    <n v="18000"/>
    <n v="0.05"/>
    <n v="205200"/>
    <s v="Purchase Order"/>
    <x v="1"/>
    <x v="3"/>
  </r>
  <r>
    <x v="144"/>
    <x v="129"/>
    <x v="6"/>
    <s v="Q2"/>
    <x v="4"/>
    <s v="Oil &amp; Gas Services"/>
    <s v="Lagos"/>
    <x v="1"/>
    <x v="5"/>
    <x v="1"/>
    <s v="Electrical"/>
    <x v="6"/>
    <n v="512000"/>
    <n v="0"/>
    <n v="0"/>
    <s v="Cash"/>
    <x v="5"/>
    <x v="0"/>
  </r>
  <r>
    <x v="145"/>
    <x v="74"/>
    <x v="4"/>
    <s v="Q4"/>
    <x v="1"/>
    <s v="Marine"/>
    <s v="Bonny"/>
    <x v="0"/>
    <x v="16"/>
    <x v="2"/>
    <s v="Maintenance"/>
    <x v="6"/>
    <n v="155000"/>
    <n v="0.05"/>
    <n v="1619750"/>
    <s v="Bank Transfer"/>
    <x v="3"/>
    <x v="3"/>
  </r>
  <r>
    <x v="146"/>
    <x v="130"/>
    <x v="11"/>
    <s v="Q3"/>
    <x v="11"/>
    <s v="Industrial"/>
    <s v="Yenagoa"/>
    <x v="5"/>
    <x v="7"/>
    <x v="0"/>
    <s v="Safety"/>
    <x v="12"/>
    <n v="192000"/>
    <n v="0.1"/>
    <n v="518400"/>
    <s v="Cash"/>
    <x v="4"/>
    <x v="2"/>
  </r>
  <r>
    <x v="147"/>
    <x v="131"/>
    <x v="5"/>
    <s v="Q2"/>
    <x v="18"/>
    <s v="Inspection"/>
    <s v="Port Harcourt"/>
    <x v="0"/>
    <x v="2"/>
    <x v="1"/>
    <s v="Valve"/>
    <x v="5"/>
    <n v="217000"/>
    <n v="0"/>
    <n v="868000"/>
    <s v="Purchase Order"/>
    <x v="0"/>
    <x v="3"/>
  </r>
  <r>
    <x v="148"/>
    <x v="25"/>
    <x v="10"/>
    <s v="Q1"/>
    <x v="11"/>
    <s v="Industrial"/>
    <s v="Yenagoa"/>
    <x v="5"/>
    <x v="13"/>
    <x v="0"/>
    <s v="PPE"/>
    <x v="3"/>
    <n v="69000"/>
    <n v="0.1"/>
    <n v="869400"/>
    <s v="Purchase Order"/>
    <x v="4"/>
    <x v="1"/>
  </r>
  <r>
    <x v="149"/>
    <x v="132"/>
    <x v="2"/>
    <s v="Q4"/>
    <x v="12"/>
    <s v="Engineering"/>
    <s v="Port Harcourt"/>
    <x v="0"/>
    <x v="10"/>
    <x v="1"/>
    <s v="Pump"/>
    <x v="8"/>
    <n v="412000"/>
    <n v="0.02"/>
    <n v="4845120"/>
    <s v="Card"/>
    <x v="2"/>
    <x v="1"/>
  </r>
  <r>
    <x v="150"/>
    <x v="133"/>
    <x v="1"/>
    <s v="Q2"/>
    <x v="0"/>
    <s v="Oil &amp; Gas Services"/>
    <s v="Port Harcourt"/>
    <x v="0"/>
    <x v="10"/>
    <x v="1"/>
    <s v="Pump"/>
    <x v="1"/>
    <n v="445000"/>
    <n v="0"/>
    <n v="2670000"/>
    <s v="Cash"/>
    <x v="2"/>
    <x v="2"/>
  </r>
  <r>
    <x v="151"/>
    <x v="134"/>
    <x v="10"/>
    <s v="Q1"/>
    <x v="0"/>
    <s v="Oil &amp; Gas Services"/>
    <s v="Port Harcourt"/>
    <x v="0"/>
    <x v="4"/>
    <x v="1"/>
    <s v="Pump"/>
    <x v="4"/>
    <n v="688000"/>
    <n v="0.05"/>
    <n v="3268000"/>
    <s v="Bank Transfer"/>
    <x v="1"/>
    <x v="1"/>
  </r>
  <r>
    <x v="152"/>
    <x v="135"/>
    <x v="4"/>
    <s v="Q4"/>
    <x v="15"/>
    <s v="Engineering"/>
    <s v="Port Harcourt"/>
    <x v="0"/>
    <x v="8"/>
    <x v="2"/>
    <s v="Inspection"/>
    <x v="4"/>
    <n v="110000"/>
    <n v="0"/>
    <n v="550000"/>
    <s v="Bank Transfer"/>
    <x v="1"/>
    <x v="1"/>
  </r>
  <r>
    <x v="153"/>
    <x v="136"/>
    <x v="11"/>
    <s v="Q3"/>
    <x v="13"/>
    <s v="Energy"/>
    <s v="Abuja"/>
    <x v="4"/>
    <x v="17"/>
    <x v="4"/>
    <s v="Electrical"/>
    <x v="1"/>
    <n v="92000"/>
    <n v="0.05"/>
    <n v="524400"/>
    <s v="Cash"/>
    <x v="2"/>
    <x v="2"/>
  </r>
  <r>
    <x v="154"/>
    <x v="86"/>
    <x v="0"/>
    <s v="Q3"/>
    <x v="10"/>
    <s v="Marine"/>
    <s v="Warri"/>
    <x v="3"/>
    <x v="17"/>
    <x v="4"/>
    <s v="Electrical"/>
    <x v="0"/>
    <n v="92000"/>
    <n v="0"/>
    <n v="828000"/>
    <s v="Bank Transfer"/>
    <x v="2"/>
    <x v="1"/>
  </r>
  <r>
    <x v="155"/>
    <x v="24"/>
    <x v="6"/>
    <s v="Q2"/>
    <x v="2"/>
    <s v="Procurement"/>
    <s v="Lagos"/>
    <x v="1"/>
    <x v="13"/>
    <x v="0"/>
    <s v="PPE"/>
    <x v="9"/>
    <n v="84000"/>
    <n v="0.1"/>
    <n v="151200"/>
    <s v="Bank Transfer"/>
    <x v="1"/>
    <x v="2"/>
  </r>
  <r>
    <x v="156"/>
    <x v="19"/>
    <x v="8"/>
    <s v="Q1"/>
    <x v="14"/>
    <s v="Oil &amp; Gas Services"/>
    <s v="Owerri"/>
    <x v="6"/>
    <x v="0"/>
    <x v="0"/>
    <s v="PPE"/>
    <x v="3"/>
    <n v="20000"/>
    <n v="0"/>
    <n v="0"/>
    <s v="Purchase Order"/>
    <x v="3"/>
    <x v="0"/>
  </r>
  <r>
    <x v="157"/>
    <x v="137"/>
    <x v="10"/>
    <s v="Q1"/>
    <x v="10"/>
    <s v="Marine"/>
    <s v="Warri"/>
    <x v="3"/>
    <x v="17"/>
    <x v="4"/>
    <s v="Electrical"/>
    <x v="15"/>
    <n v="107000"/>
    <n v="0.1"/>
    <n v="0"/>
    <s v="Card"/>
    <x v="5"/>
    <x v="0"/>
  </r>
  <r>
    <x v="158"/>
    <x v="82"/>
    <x v="5"/>
    <s v="Q2"/>
    <x v="17"/>
    <s v="Facilities"/>
    <s v="Lagos"/>
    <x v="1"/>
    <x v="5"/>
    <x v="1"/>
    <s v="Electrical"/>
    <x v="6"/>
    <n v="505000"/>
    <n v="0"/>
    <n v="5555000"/>
    <s v="Purchase Order"/>
    <x v="6"/>
    <x v="4"/>
  </r>
  <r>
    <x v="159"/>
    <x v="138"/>
    <x v="11"/>
    <s v="Q3"/>
    <x v="14"/>
    <s v="Oil &amp; Gas Services"/>
    <s v="Owerri"/>
    <x v="6"/>
    <x v="15"/>
    <x v="2"/>
    <s v="Calibration"/>
    <x v="3"/>
    <n v="91000"/>
    <n v="0"/>
    <n v="1274000"/>
    <s v="Transfer"/>
    <x v="7"/>
    <x v="2"/>
  </r>
  <r>
    <x v="160"/>
    <x v="139"/>
    <x v="0"/>
    <s v="Q3"/>
    <x v="4"/>
    <s v="Oil &amp; Gas Services"/>
    <s v="Lagos"/>
    <x v="1"/>
    <x v="16"/>
    <x v="2"/>
    <s v="Maintenance"/>
    <x v="10"/>
    <n v="155000"/>
    <n v="0"/>
    <n v="1240000"/>
    <s v="Card"/>
    <x v="6"/>
    <x v="4"/>
  </r>
  <r>
    <x v="161"/>
    <x v="140"/>
    <x v="0"/>
    <s v="Q3"/>
    <x v="2"/>
    <s v="Procurement"/>
    <s v="Lagos"/>
    <x v="1"/>
    <x v="3"/>
    <x v="1"/>
    <s v="Fabrication"/>
    <x v="1"/>
    <n v="372000"/>
    <n v="0"/>
    <n v="2232000"/>
    <s v="Purchase Order"/>
    <x v="3"/>
    <x v="2"/>
  </r>
  <r>
    <x v="162"/>
    <x v="141"/>
    <x v="10"/>
    <s v="Q1"/>
    <x v="11"/>
    <s v="Industrial"/>
    <s v="Yenagoa"/>
    <x v="5"/>
    <x v="2"/>
    <x v="1"/>
    <s v="Valve"/>
    <x v="2"/>
    <n v="266000"/>
    <n v="0"/>
    <n v="3990000"/>
    <s v="Cash"/>
    <x v="3"/>
    <x v="4"/>
  </r>
  <r>
    <x v="163"/>
    <x v="142"/>
    <x v="4"/>
    <s v="Q4"/>
    <x v="3"/>
    <s v="Energy"/>
    <s v="Port Harcourt"/>
    <x v="0"/>
    <x v="5"/>
    <x v="1"/>
    <s v="Electrical"/>
    <x v="10"/>
    <n v="557000"/>
    <n v="0"/>
    <n v="4456000"/>
    <s v="Cash"/>
    <x v="5"/>
    <x v="1"/>
  </r>
  <r>
    <x v="164"/>
    <x v="143"/>
    <x v="10"/>
    <s v="Q1"/>
    <x v="10"/>
    <s v="Marine"/>
    <s v="Warri"/>
    <x v="3"/>
    <x v="14"/>
    <x v="0"/>
    <s v="PPE"/>
    <x v="6"/>
    <n v="40000"/>
    <n v="0"/>
    <n v="440000"/>
    <s v="Card"/>
    <x v="3"/>
    <x v="1"/>
  </r>
  <r>
    <x v="165"/>
    <x v="144"/>
    <x v="2"/>
    <s v="Q4"/>
    <x v="12"/>
    <s v="Engineering"/>
    <s v="Port Harcourt"/>
    <x v="0"/>
    <x v="4"/>
    <x v="1"/>
    <s v="Pump"/>
    <x v="4"/>
    <n v="605000"/>
    <n v="0.05"/>
    <n v="2873750"/>
    <s v=""/>
    <x v="2"/>
    <x v="1"/>
  </r>
  <r>
    <x v="166"/>
    <x v="127"/>
    <x v="6"/>
    <s v="Q2"/>
    <x v="2"/>
    <s v="Procurement"/>
    <s v="Lagos"/>
    <x v="1"/>
    <x v="14"/>
    <x v="0"/>
    <s v="PPE"/>
    <x v="4"/>
    <n v="45000"/>
    <n v="0.05"/>
    <n v="213750"/>
    <s v="Cash"/>
    <x v="0"/>
    <x v="1"/>
  </r>
  <r>
    <x v="167"/>
    <x v="16"/>
    <x v="1"/>
    <s v="Q2"/>
    <x v="20"/>
    <s v="HSE"/>
    <s v="Port Harcourt"/>
    <x v="0"/>
    <x v="17"/>
    <x v="4"/>
    <s v="Electrical"/>
    <x v="5"/>
    <n v="97000"/>
    <n v="0"/>
    <n v="388000"/>
    <s v="Purchase Order "/>
    <x v="6"/>
    <x v="1"/>
  </r>
  <r>
    <x v="168"/>
    <x v="145"/>
    <x v="9"/>
    <s v="Q1"/>
    <x v="6"/>
    <s v="Industrial"/>
    <s v="Uyo"/>
    <x v="2"/>
    <x v="9"/>
    <x v="1"/>
    <s v="Valve"/>
    <x v="15"/>
    <n v="165000"/>
    <n v="0.02"/>
    <n v="1617000"/>
    <s v="Purchase Order"/>
    <x v="7"/>
    <x v="2"/>
  </r>
  <r>
    <x v="169"/>
    <x v="146"/>
    <x v="8"/>
    <s v="Q1"/>
    <x v="15"/>
    <s v="Engineering"/>
    <s v="Port Harcourt"/>
    <x v="0"/>
    <x v="3"/>
    <x v="1"/>
    <s v="Fabrication"/>
    <x v="0"/>
    <n v="393000"/>
    <n v="0"/>
    <n v="3537000"/>
    <s v="Purchase Order"/>
    <x v="0"/>
    <x v="1"/>
  </r>
  <r>
    <x v="170"/>
    <x v="22"/>
    <x v="0"/>
    <s v="Q3"/>
    <x v="20"/>
    <s v="HSE"/>
    <s v="Port Harcourt"/>
    <x v="0"/>
    <x v="6"/>
    <x v="1"/>
    <s v="Instrumentation"/>
    <x v="13"/>
    <n v="326000"/>
    <n v="0.02"/>
    <n v="2236360"/>
    <s v="Purchase Order"/>
    <x v="2"/>
    <x v="2"/>
  </r>
  <r>
    <x v="171"/>
    <x v="147"/>
    <x v="3"/>
    <s v="Q3"/>
    <x v="7"/>
    <s v="Logistics"/>
    <s v="Warri"/>
    <x v="3"/>
    <x v="15"/>
    <x v="2"/>
    <s v="Calibration"/>
    <x v="4"/>
    <n v="85000"/>
    <n v="0.1"/>
    <n v="382500"/>
    <s v="Card"/>
    <x v="3"/>
    <x v="1"/>
  </r>
  <r>
    <x v="172"/>
    <x v="47"/>
    <x v="1"/>
    <s v="Q2"/>
    <x v="0"/>
    <s v="Oil &amp; Gas Services"/>
    <s v="Port Harcourt"/>
    <x v="0"/>
    <x v="10"/>
    <x v="1"/>
    <s v="Pump"/>
    <x v="5"/>
    <n v="399000"/>
    <n v="0"/>
    <n v="1564080"/>
    <s v="Card"/>
    <x v="7"/>
    <x v="1"/>
  </r>
  <r>
    <x v="173"/>
    <x v="148"/>
    <x v="4"/>
    <s v="Q4"/>
    <x v="8"/>
    <s v="Environmental"/>
    <s v="Port Harcourt"/>
    <x v="0"/>
    <x v="17"/>
    <x v="4"/>
    <s v="Electrical"/>
    <x v="4"/>
    <n v="97000"/>
    <n v="0"/>
    <n v="485000"/>
    <s v=" Bank Transfer "/>
    <x v="6"/>
    <x v="3"/>
  </r>
  <r>
    <x v="174"/>
    <x v="16"/>
    <x v="1"/>
    <s v="Q2"/>
    <x v="4"/>
    <s v="Oil &amp; Gas Services"/>
    <s v="Lagos"/>
    <x v="1"/>
    <x v="5"/>
    <x v="1"/>
    <s v="Electrical"/>
    <x v="0"/>
    <n v="471000"/>
    <n v="0"/>
    <n v="4239000"/>
    <s v="Cash"/>
    <x v="6"/>
    <x v="3"/>
  </r>
  <r>
    <x v="175"/>
    <x v="149"/>
    <x v="4"/>
    <s v="Q4"/>
    <x v="10"/>
    <s v="Marine"/>
    <s v="Warri"/>
    <x v="3"/>
    <x v="11"/>
    <x v="3"/>
    <s v="Consumables"/>
    <x v="2"/>
    <n v="27000"/>
    <n v="0.02"/>
    <n v="396900"/>
    <s v="Card"/>
    <x v="6"/>
    <x v="1"/>
  </r>
  <r>
    <x v="176"/>
    <x v="150"/>
    <x v="4"/>
    <s v="Q4"/>
    <x v="16"/>
    <s v="Engineering"/>
    <s v="Warri"/>
    <x v="3"/>
    <x v="1"/>
    <x v="1"/>
    <s v="Instrumentation"/>
    <x v="11"/>
    <n v="81000"/>
    <n v="0.05"/>
    <n v="1000350"/>
    <s v="Cash"/>
    <x v="3"/>
    <x v="1"/>
  </r>
  <r>
    <x v="177"/>
    <x v="20"/>
    <x v="0"/>
    <s v="Q3"/>
    <x v="14"/>
    <s v="Oil &amp; Gas Services"/>
    <s v="Owerri"/>
    <x v="6"/>
    <x v="12"/>
    <x v="2"/>
    <s v="Maintenance"/>
    <x v="4"/>
    <n v="206000"/>
    <n v="0"/>
    <n v="1030000"/>
    <s v=""/>
    <x v="2"/>
    <x v="3"/>
  </r>
  <r>
    <x v="178"/>
    <x v="14"/>
    <x v="8"/>
    <s v="Q1"/>
    <x v="10"/>
    <s v="Marine"/>
    <s v="Warri"/>
    <x v="3"/>
    <x v="14"/>
    <x v="0"/>
    <s v="PPE"/>
    <x v="2"/>
    <n v="46000"/>
    <n v="0"/>
    <n v="690000"/>
    <s v="Card"/>
    <x v="0"/>
    <x v="3"/>
  </r>
  <r>
    <x v="179"/>
    <x v="151"/>
    <x v="6"/>
    <s v="Q2"/>
    <x v="6"/>
    <s v="Industrial"/>
    <s v="Uyo"/>
    <x v="2"/>
    <x v="3"/>
    <x v="1"/>
    <s v="Fabrication"/>
    <x v="11"/>
    <n v="365000"/>
    <n v="0"/>
    <n v="4745000"/>
    <s v="Po"/>
    <x v="6"/>
    <x v="1"/>
  </r>
  <r>
    <x v="180"/>
    <x v="152"/>
    <x v="5"/>
    <s v="Q2"/>
    <x v="10"/>
    <s v="Marine"/>
    <s v="Warri"/>
    <x v="3"/>
    <x v="17"/>
    <x v="4"/>
    <s v="Electrical"/>
    <x v="6"/>
    <n v="102000"/>
    <n v="0.02"/>
    <n v="1099560"/>
    <s v="Cash"/>
    <x v="4"/>
    <x v="1"/>
  </r>
  <r>
    <x v="181"/>
    <x v="72"/>
    <x v="6"/>
    <s v="Q2"/>
    <x v="14"/>
    <s v="Oil &amp; Gas Services"/>
    <s v="Owerri"/>
    <x v="6"/>
    <x v="11"/>
    <x v="3"/>
    <s v="Consumables"/>
    <x v="2"/>
    <n v="28000"/>
    <n v="0.02"/>
    <n v="411600"/>
    <s v="Transfer"/>
    <x v="2"/>
    <x v="1"/>
  </r>
  <r>
    <x v="182"/>
    <x v="82"/>
    <x v="5"/>
    <s v="Q2"/>
    <x v="17"/>
    <s v="Facilities"/>
    <s v="Lagos"/>
    <x v="1"/>
    <x v="4"/>
    <x v="1"/>
    <s v="Pump"/>
    <x v="11"/>
    <n v="628000"/>
    <n v="0.02"/>
    <n v="8000720"/>
    <s v="Cash"/>
    <x v="3"/>
    <x v="1"/>
  </r>
  <r>
    <x v="183"/>
    <x v="153"/>
    <x v="8"/>
    <s v="Q1"/>
    <x v="13"/>
    <s v="Energy"/>
    <s v="Abuja"/>
    <x v="4"/>
    <x v="9"/>
    <x v="1"/>
    <s v="Valve"/>
    <x v="2"/>
    <n v="149000"/>
    <n v="0"/>
    <n v="2235000"/>
    <s v="Card"/>
    <x v="1"/>
    <x v="1"/>
  </r>
  <r>
    <x v="184"/>
    <x v="74"/>
    <x v="4"/>
    <s v="Q4"/>
    <x v="0"/>
    <s v="Oil &amp; Gas Services"/>
    <s v="Port Harcourt"/>
    <x v="0"/>
    <x v="15"/>
    <x v="2"/>
    <s v="Calibration"/>
    <x v="0"/>
    <n v="97000"/>
    <n v="0.02"/>
    <n v="855540"/>
    <s v=" Bank Transfer "/>
    <x v="5"/>
    <x v="2"/>
  </r>
  <r>
    <x v="185"/>
    <x v="154"/>
    <x v="7"/>
    <s v="Q4"/>
    <x v="1"/>
    <s v="Marine"/>
    <s v="Bonny"/>
    <x v="0"/>
    <x v="3"/>
    <x v="1"/>
    <s v="Fabrication"/>
    <x v="12"/>
    <n v="381000"/>
    <n v="0"/>
    <n v="1143000"/>
    <s v="Bank Transfer"/>
    <x v="0"/>
    <x v="3"/>
  </r>
  <r>
    <x v="186"/>
    <x v="101"/>
    <x v="9"/>
    <s v="Q1"/>
    <x v="10"/>
    <s v="Marine"/>
    <s v="Warri"/>
    <x v="3"/>
    <x v="1"/>
    <x v="1"/>
    <s v="Instrumentation"/>
    <x v="15"/>
    <n v="97000"/>
    <n v="0.05"/>
    <n v="921500"/>
    <s v="Transfer"/>
    <x v="3"/>
    <x v="1"/>
  </r>
  <r>
    <x v="187"/>
    <x v="155"/>
    <x v="1"/>
    <s v="Q2"/>
    <x v="9"/>
    <s v="Energy"/>
    <s v="Abuja"/>
    <x v="4"/>
    <x v="13"/>
    <x v="0"/>
    <s v="PPE"/>
    <x v="0"/>
    <n v="75000"/>
    <n v="0"/>
    <n v="675000"/>
    <s v="Cash"/>
    <x v="1"/>
    <x v="2"/>
  </r>
  <r>
    <x v="188"/>
    <x v="156"/>
    <x v="7"/>
    <s v="Q4"/>
    <x v="19"/>
    <s v="HSE"/>
    <s v="Port Harcourt"/>
    <x v="0"/>
    <x v="5"/>
    <x v="1"/>
    <s v="Electrical"/>
    <x v="2"/>
    <n v="574000"/>
    <n v="0.05"/>
    <n v="8179500"/>
    <s v="Cash"/>
    <x v="2"/>
    <x v="1"/>
  </r>
  <r>
    <x v="189"/>
    <x v="23"/>
    <x v="7"/>
    <s v="Q4"/>
    <x v="12"/>
    <s v="Engineering"/>
    <s v="Port Harcourt"/>
    <x v="0"/>
    <x v="9"/>
    <x v="1"/>
    <s v="Valve"/>
    <x v="11"/>
    <n v="135000"/>
    <n v="0.1"/>
    <n v="1579500"/>
    <s v=""/>
    <x v="1"/>
    <x v="3"/>
  </r>
  <r>
    <x v="190"/>
    <x v="54"/>
    <x v="5"/>
    <s v="Q2"/>
    <x v="4"/>
    <s v="Oil &amp; Gas Services"/>
    <s v="Lagos"/>
    <x v="1"/>
    <x v="8"/>
    <x v="2"/>
    <s v="Inspection"/>
    <x v="9"/>
    <n v="108000"/>
    <n v="0.05"/>
    <n v="0"/>
    <s v=""/>
    <x v="7"/>
    <x v="0"/>
  </r>
  <r>
    <x v="191"/>
    <x v="36"/>
    <x v="10"/>
    <s v="Q1"/>
    <x v="18"/>
    <s v="Inspection"/>
    <s v="Port Harcourt"/>
    <x v="0"/>
    <x v="5"/>
    <x v="1"/>
    <s v="Electrical"/>
    <x v="9"/>
    <n v="589000"/>
    <n v="0"/>
    <n v="1178000"/>
    <s v="Bank Transfer"/>
    <x v="3"/>
    <x v="2"/>
  </r>
  <r>
    <x v="192"/>
    <x v="157"/>
    <x v="8"/>
    <s v="Q1"/>
    <x v="7"/>
    <s v="Logistics"/>
    <s v="Warri"/>
    <x v="3"/>
    <x v="4"/>
    <x v="1"/>
    <s v="Pump"/>
    <x v="5"/>
    <n v="743000"/>
    <n v="0"/>
    <n v="2972000"/>
    <s v="Cash"/>
    <x v="3"/>
    <x v="1"/>
  </r>
  <r>
    <x v="193"/>
    <x v="158"/>
    <x v="7"/>
    <s v="Q4"/>
    <x v="18"/>
    <s v="Inspection"/>
    <s v="Port Harcourt"/>
    <x v="0"/>
    <x v="16"/>
    <x v="2"/>
    <s v="Maintenance"/>
    <x v="0"/>
    <n v="168000"/>
    <n v="0.02"/>
    <n v="1481760"/>
    <s v="Card"/>
    <x v="5"/>
    <x v="1"/>
  </r>
  <r>
    <x v="194"/>
    <x v="159"/>
    <x v="8"/>
    <s v="Q1"/>
    <x v="18"/>
    <s v="Inspection"/>
    <s v="Port Harcourt"/>
    <x v="0"/>
    <x v="11"/>
    <x v="3"/>
    <s v="Consumables"/>
    <x v="10"/>
    <n v="29000"/>
    <n v="0.05"/>
    <n v="220400"/>
    <s v="Cash"/>
    <x v="2"/>
    <x v="3"/>
  </r>
  <r>
    <x v="195"/>
    <x v="160"/>
    <x v="10"/>
    <s v="Q1"/>
    <x v="8"/>
    <s v="Environmental"/>
    <s v="Port Harcourt"/>
    <x v="0"/>
    <x v="15"/>
    <x v="2"/>
    <s v="Calibration"/>
    <x v="8"/>
    <n v="105000"/>
    <n v="0"/>
    <n v="0"/>
    <s v="Cash"/>
    <x v="3"/>
    <x v="0"/>
  </r>
  <r>
    <x v="196"/>
    <x v="161"/>
    <x v="9"/>
    <s v="Q1"/>
    <x v="10"/>
    <s v="Marine"/>
    <s v="Warri"/>
    <x v="3"/>
    <x v="7"/>
    <x v="0"/>
    <s v="Safety"/>
    <x v="4"/>
    <n v="219000"/>
    <n v="0.02"/>
    <n v="0"/>
    <s v="Card"/>
    <x v="6"/>
    <x v="0"/>
  </r>
  <r>
    <x v="197"/>
    <x v="30"/>
    <x v="4"/>
    <s v="Q4"/>
    <x v="8"/>
    <s v="Environmental"/>
    <s v="Port Harcourt"/>
    <x v="0"/>
    <x v="14"/>
    <x v="0"/>
    <s v="PPE"/>
    <x v="3"/>
    <n v="43000"/>
    <n v="0.05"/>
    <n v="571900"/>
    <s v="Cash"/>
    <x v="0"/>
    <x v="1"/>
  </r>
  <r>
    <x v="198"/>
    <x v="162"/>
    <x v="2"/>
    <s v="Q4"/>
    <x v="20"/>
    <s v="HSE"/>
    <s v="Port Harcourt"/>
    <x v="0"/>
    <x v="8"/>
    <x v="2"/>
    <s v="Inspection"/>
    <x v="12"/>
    <n v="131000"/>
    <n v="0"/>
    <n v="393000"/>
    <s v="Bank Transfer"/>
    <x v="6"/>
    <x v="3"/>
  </r>
  <r>
    <x v="199"/>
    <x v="2"/>
    <x v="1"/>
    <s v="Q2"/>
    <x v="15"/>
    <s v="Engineering"/>
    <s v="Port Harcourt"/>
    <x v="0"/>
    <x v="8"/>
    <x v="2"/>
    <s v="Inspection"/>
    <x v="9"/>
    <n v="136000"/>
    <n v="0.02"/>
    <n v="266560"/>
    <s v="Bank Transfer"/>
    <x v="7"/>
    <x v="3"/>
  </r>
  <r>
    <x v="200"/>
    <x v="150"/>
    <x v="4"/>
    <s v="Q4"/>
    <x v="8"/>
    <s v="Environmental"/>
    <s v="Port Harcourt"/>
    <x v="0"/>
    <x v="11"/>
    <x v="3"/>
    <s v="Consumables"/>
    <x v="4"/>
    <n v="31000"/>
    <n v="0.1"/>
    <n v="139500"/>
    <s v="Cash"/>
    <x v="3"/>
    <x v="1"/>
  </r>
  <r>
    <x v="201"/>
    <x v="29"/>
    <x v="4"/>
    <s v="Q4"/>
    <x v="0"/>
    <s v="Oil &amp; Gas Services"/>
    <s v="Port Harcourt"/>
    <x v="0"/>
    <x v="7"/>
    <x v="0"/>
    <s v="Safety"/>
    <x v="12"/>
    <n v="198000"/>
    <n v="0.1"/>
    <n v="534600"/>
    <s v=" Bank Transfer "/>
    <x v="1"/>
    <x v="1"/>
  </r>
  <r>
    <x v="202"/>
    <x v="151"/>
    <x v="6"/>
    <s v="Q2"/>
    <x v="5"/>
    <s v="Oil &amp; Gas Services"/>
    <s v="Lagos"/>
    <x v="1"/>
    <x v="8"/>
    <x v="2"/>
    <s v="Inspection"/>
    <x v="10"/>
    <n v="111000"/>
    <n v="0"/>
    <n v="888000"/>
    <s v="Bank Transfer"/>
    <x v="2"/>
    <x v="1"/>
  </r>
  <r>
    <x v="203"/>
    <x v="163"/>
    <x v="2"/>
    <s v="Q4"/>
    <x v="20"/>
    <s v="HSE"/>
    <s v="Port Harcourt"/>
    <x v="0"/>
    <x v="15"/>
    <x v="2"/>
    <s v="Calibration"/>
    <x v="7"/>
    <n v="108000"/>
    <n v="0.1"/>
    <n v="97200"/>
    <s v="Card"/>
    <x v="7"/>
    <x v="1"/>
  </r>
  <r>
    <x v="204"/>
    <x v="135"/>
    <x v="4"/>
    <s v="Q4"/>
    <x v="5"/>
    <s v="Oil &amp; Gas Services"/>
    <s v="Lagos"/>
    <x v="1"/>
    <x v="5"/>
    <x v="1"/>
    <s v="Electrical"/>
    <x v="10"/>
    <n v="596000"/>
    <n v="0.02"/>
    <n v="4672640"/>
    <s v="Purchase Order"/>
    <x v="2"/>
    <x v="2"/>
  </r>
  <r>
    <x v="205"/>
    <x v="29"/>
    <x v="4"/>
    <s v="Q4"/>
    <x v="0"/>
    <s v="Oil &amp; Gas Services"/>
    <s v="Port Harcourt"/>
    <x v="0"/>
    <x v="13"/>
    <x v="0"/>
    <s v="PPE"/>
    <x v="10"/>
    <n v="84000"/>
    <n v="0.1"/>
    <n v="604800"/>
    <s v="Purchase Order"/>
    <x v="7"/>
    <x v="2"/>
  </r>
  <r>
    <x v="206"/>
    <x v="164"/>
    <x v="7"/>
    <s v="Q4"/>
    <x v="6"/>
    <s v="Industrial"/>
    <s v="Uyo"/>
    <x v="2"/>
    <x v="1"/>
    <x v="1"/>
    <s v="Instrumentation"/>
    <x v="6"/>
    <n v="77000"/>
    <n v="0"/>
    <n v="847000"/>
    <s v="Card"/>
    <x v="5"/>
    <x v="1"/>
  </r>
  <r>
    <x v="207"/>
    <x v="163"/>
    <x v="2"/>
    <s v="Q4"/>
    <x v="1"/>
    <s v="Marine"/>
    <s v="Bonny"/>
    <x v="0"/>
    <x v="3"/>
    <x v="1"/>
    <s v="Fabrication"/>
    <x v="10"/>
    <n v="381000"/>
    <n v="0"/>
    <n v="3048000"/>
    <s v="Cash"/>
    <x v="1"/>
    <x v="2"/>
  </r>
  <r>
    <x v="208"/>
    <x v="85"/>
    <x v="5"/>
    <s v="Q2"/>
    <x v="8"/>
    <s v="Environmental"/>
    <s v="Port Harcourt"/>
    <x v="0"/>
    <x v="16"/>
    <x v="2"/>
    <s v="Maintenance"/>
    <x v="0"/>
    <n v="149000"/>
    <n v="0.05"/>
    <n v="1273950"/>
    <s v=" Bank Transfer "/>
    <x v="2"/>
    <x v="3"/>
  </r>
  <r>
    <x v="209"/>
    <x v="89"/>
    <x v="2"/>
    <s v="Q4"/>
    <x v="17"/>
    <s v="Facilities"/>
    <s v="Lagos"/>
    <x v="1"/>
    <x v="10"/>
    <x v="1"/>
    <s v="Pump"/>
    <x v="7"/>
    <n v="397000"/>
    <n v="0.02"/>
    <n v="389060"/>
    <s v="Card"/>
    <x v="8"/>
    <x v="1"/>
  </r>
  <r>
    <x v="210"/>
    <x v="165"/>
    <x v="11"/>
    <s v="Q3"/>
    <x v="8"/>
    <s v="Environmental"/>
    <s v="Port Harcourt"/>
    <x v="0"/>
    <x v="15"/>
    <x v="2"/>
    <s v="Calibration"/>
    <x v="9"/>
    <n v="108000"/>
    <n v="0.02"/>
    <n v="211680"/>
    <s v="Purchase Order"/>
    <x v="8"/>
    <x v="1"/>
  </r>
  <r>
    <x v="211"/>
    <x v="144"/>
    <x v="2"/>
    <s v="Q4"/>
    <x v="11"/>
    <s v="Industrial"/>
    <s v="Yenagoa"/>
    <x v="5"/>
    <x v="17"/>
    <x v="4"/>
    <s v="Electrical"/>
    <x v="15"/>
    <n v="88000"/>
    <n v="0"/>
    <n v="880000"/>
    <s v="Po"/>
    <x v="0"/>
    <x v="3"/>
  </r>
  <r>
    <x v="212"/>
    <x v="32"/>
    <x v="9"/>
    <s v="Q1"/>
    <x v="13"/>
    <s v="Energy"/>
    <s v="Abuja"/>
    <x v="4"/>
    <x v="2"/>
    <x v="1"/>
    <s v="Valve"/>
    <x v="8"/>
    <n v="251000"/>
    <n v="0.05"/>
    <n v="2861400"/>
    <s v="Card"/>
    <x v="2"/>
    <x v="1"/>
  </r>
  <r>
    <x v="213"/>
    <x v="166"/>
    <x v="4"/>
    <s v="Q4"/>
    <x v="19"/>
    <s v="Environmental"/>
    <s v="Port Harcourt"/>
    <x v="0"/>
    <x v="2"/>
    <x v="1"/>
    <s v="Valve"/>
    <x v="16"/>
    <n v="212000"/>
    <n v="0"/>
    <n v="2968000"/>
    <s v="Bank Transfer"/>
    <x v="5"/>
    <x v="2"/>
  </r>
  <r>
    <x v="214"/>
    <x v="43"/>
    <x v="7"/>
    <s v="Q4"/>
    <x v="20"/>
    <s v="HSE"/>
    <s v="Port Harcourt"/>
    <x v="0"/>
    <x v="15"/>
    <x v="2"/>
    <s v="Calibration"/>
    <x v="12"/>
    <n v="91000"/>
    <n v="0.02"/>
    <n v="0"/>
    <s v="P.O."/>
    <x v="1"/>
    <x v="0"/>
  </r>
  <r>
    <x v="215"/>
    <x v="167"/>
    <x v="6"/>
    <s v="Q2"/>
    <x v="7"/>
    <s v="Logistics"/>
    <s v="Warri"/>
    <x v="3"/>
    <x v="5"/>
    <x v="1"/>
    <s v="Electrical"/>
    <x v="15"/>
    <n v="509000"/>
    <n v="0"/>
    <n v="5090000"/>
    <s v="Card"/>
    <x v="1"/>
    <x v="3"/>
  </r>
  <r>
    <x v="216"/>
    <x v="71"/>
    <x v="0"/>
    <s v="Q3"/>
    <x v="7"/>
    <s v="Logistics"/>
    <s v="Warri"/>
    <x v="3"/>
    <x v="2"/>
    <x v="1"/>
    <s v="Valve"/>
    <x v="15"/>
    <n v="214000"/>
    <n v="0.02"/>
    <n v="2097200"/>
    <s v="Bank Transfer"/>
    <x v="7"/>
    <x v="2"/>
  </r>
  <r>
    <x v="217"/>
    <x v="167"/>
    <x v="6"/>
    <s v="Q2"/>
    <x v="14"/>
    <s v="Oil &amp; Gas Services"/>
    <s v="Owerri"/>
    <x v="6"/>
    <x v="4"/>
    <x v="1"/>
    <s v="Pump"/>
    <x v="12"/>
    <n v="715000"/>
    <n v="0.05"/>
    <n v="0"/>
    <s v=" Bank Transfer "/>
    <x v="3"/>
    <x v="0"/>
  </r>
  <r>
    <x v="218"/>
    <x v="168"/>
    <x v="0"/>
    <s v="Q3"/>
    <x v="10"/>
    <s v="Marine"/>
    <s v="Warri"/>
    <x v="3"/>
    <x v="15"/>
    <x v="2"/>
    <s v="Calibration"/>
    <x v="11"/>
    <n v="102000"/>
    <n v="0.1"/>
    <n v="1193400"/>
    <s v="P.O."/>
    <x v="1"/>
    <x v="4"/>
  </r>
  <r>
    <x v="219"/>
    <x v="28"/>
    <x v="6"/>
    <s v="Q2"/>
    <x v="5"/>
    <s v="Oil &amp; Gas Services"/>
    <s v="Lagos"/>
    <x v="1"/>
    <x v="10"/>
    <x v="1"/>
    <s v="Pump"/>
    <x v="7"/>
    <n v="401000"/>
    <n v="0"/>
    <n v="401000"/>
    <s v="Bank Transfer"/>
    <x v="0"/>
    <x v="3"/>
  </r>
  <r>
    <x v="220"/>
    <x v="169"/>
    <x v="10"/>
    <s v="Q1"/>
    <x v="20"/>
    <s v="HSE"/>
    <s v="Port Harcourt"/>
    <x v="0"/>
    <x v="12"/>
    <x v="2"/>
    <s v="Maintenance"/>
    <x v="4"/>
    <n v="206000"/>
    <n v="0"/>
    <n v="1030000"/>
    <s v="Cash"/>
    <x v="0"/>
    <x v="2"/>
  </r>
  <r>
    <x v="221"/>
    <x v="130"/>
    <x v="11"/>
    <s v="Q3"/>
    <x v="18"/>
    <s v="Inspection"/>
    <s v="Port Harcourt"/>
    <x v="0"/>
    <x v="2"/>
    <x v="1"/>
    <s v="Valve"/>
    <x v="3"/>
    <n v="226000"/>
    <n v="0"/>
    <n v="3164000"/>
    <s v="Bank Transfer"/>
    <x v="0"/>
    <x v="3"/>
  </r>
  <r>
    <x v="222"/>
    <x v="164"/>
    <x v="7"/>
    <s v="Q4"/>
    <x v="12"/>
    <s v="Engineering"/>
    <s v="Port Harcourt"/>
    <x v="0"/>
    <x v="15"/>
    <x v="2"/>
    <s v="Calibration"/>
    <x v="8"/>
    <n v="85000"/>
    <n v="0"/>
    <n v="1020000"/>
    <s v="Purchase Order"/>
    <x v="1"/>
    <x v="3"/>
  </r>
  <r>
    <x v="223"/>
    <x v="2"/>
    <x v="1"/>
    <s v="Q2"/>
    <x v="4"/>
    <s v="Oil &amp; Gas Services"/>
    <s v="Lagos"/>
    <x v="1"/>
    <x v="16"/>
    <x v="2"/>
    <s v="Maintenance"/>
    <x v="7"/>
    <n v="163000"/>
    <n v="0.05"/>
    <n v="154850"/>
    <s v="Purchase Order"/>
    <x v="2"/>
    <x v="1"/>
  </r>
  <r>
    <x v="224"/>
    <x v="74"/>
    <x v="4"/>
    <s v="Q4"/>
    <x v="3"/>
    <s v="Energy"/>
    <s v="Port Harcourt"/>
    <x v="0"/>
    <x v="8"/>
    <x v="2"/>
    <s v="Inspection"/>
    <x v="5"/>
    <n v="130000"/>
    <n v="0"/>
    <n v="520000"/>
    <s v="Purchase Order"/>
    <x v="0"/>
    <x v="1"/>
  </r>
  <r>
    <x v="225"/>
    <x v="170"/>
    <x v="4"/>
    <s v="Q4"/>
    <x v="13"/>
    <s v="Energy"/>
    <s v="Abuja"/>
    <x v="4"/>
    <x v="0"/>
    <x v="0"/>
    <s v="PPE"/>
    <x v="7"/>
    <n v="21000"/>
    <n v="0.1"/>
    <n v="18900"/>
    <s v="Transfer"/>
    <x v="6"/>
    <x v="2"/>
  </r>
  <r>
    <x v="226"/>
    <x v="128"/>
    <x v="0"/>
    <s v="Q3"/>
    <x v="12"/>
    <s v="Engineering"/>
    <s v="Port Harcourt"/>
    <x v="0"/>
    <x v="16"/>
    <x v="2"/>
    <s v="Maintenance"/>
    <x v="15"/>
    <n v="142000"/>
    <n v="0.05"/>
    <n v="1349000"/>
    <s v="Transfer"/>
    <x v="6"/>
    <x v="1"/>
  </r>
  <r>
    <x v="227"/>
    <x v="171"/>
    <x v="5"/>
    <s v="Q2"/>
    <x v="1"/>
    <s v="Marine"/>
    <s v="Bonny"/>
    <x v="0"/>
    <x v="5"/>
    <x v="1"/>
    <s v="Electrical"/>
    <x v="8"/>
    <n v="566000"/>
    <n v="0"/>
    <n v="6792000"/>
    <s v="Cash"/>
    <x v="0"/>
    <x v="1"/>
  </r>
  <r>
    <x v="228"/>
    <x v="162"/>
    <x v="2"/>
    <s v="Q4"/>
    <x v="5"/>
    <s v="Oil &amp; Gas Services"/>
    <s v="Lagos"/>
    <x v="1"/>
    <x v="3"/>
    <x v="1"/>
    <s v="Fabrication"/>
    <x v="7"/>
    <n v="329000"/>
    <n v="0.05"/>
    <n v="312550"/>
    <s v="Transfer"/>
    <x v="3"/>
    <x v="1"/>
  </r>
  <r>
    <x v="229"/>
    <x v="172"/>
    <x v="10"/>
    <s v="Q1"/>
    <x v="10"/>
    <s v="Marine"/>
    <s v="Warri"/>
    <x v="3"/>
    <x v="13"/>
    <x v="0"/>
    <s v="PPE"/>
    <x v="5"/>
    <n v="75000"/>
    <n v="0"/>
    <n v="300000"/>
    <s v="P.O."/>
    <x v="7"/>
    <x v="2"/>
  </r>
  <r>
    <x v="230"/>
    <x v="146"/>
    <x v="8"/>
    <s v="Q1"/>
    <x v="14"/>
    <s v="Oil &amp; Gas Services"/>
    <s v="Owerri"/>
    <x v="6"/>
    <x v="16"/>
    <x v="2"/>
    <s v="Maintenance"/>
    <x v="9"/>
    <n v="145000"/>
    <n v="0"/>
    <n v="290000"/>
    <s v="Purchase Order"/>
    <x v="3"/>
    <x v="3"/>
  </r>
  <r>
    <x v="231"/>
    <x v="173"/>
    <x v="5"/>
    <s v="Q2"/>
    <x v="2"/>
    <s v="Procurement"/>
    <s v="Lagos"/>
    <x v="1"/>
    <x v="1"/>
    <x v="1"/>
    <s v="Instrumentation"/>
    <x v="2"/>
    <n v="83000"/>
    <n v="0"/>
    <n v="1245000"/>
    <s v="Card"/>
    <x v="4"/>
    <x v="1"/>
  </r>
  <r>
    <x v="232"/>
    <x v="115"/>
    <x v="5"/>
    <s v="Q2"/>
    <x v="9"/>
    <s v="Energy"/>
    <s v="Abuja"/>
    <x v="4"/>
    <x v="3"/>
    <x v="1"/>
    <s v="Fabrication"/>
    <x v="13"/>
    <n v="330000"/>
    <n v="0.05"/>
    <n v="2194500"/>
    <s v="Card"/>
    <x v="0"/>
    <x v="3"/>
  </r>
  <r>
    <x v="233"/>
    <x v="174"/>
    <x v="6"/>
    <s v="Q2"/>
    <x v="13"/>
    <s v="Energy"/>
    <s v="Abuja"/>
    <x v="4"/>
    <x v="10"/>
    <x v="1"/>
    <s v="Pump"/>
    <x v="8"/>
    <n v="382000"/>
    <n v="0.1"/>
    <n v="4125600"/>
    <s v="Cash"/>
    <x v="4"/>
    <x v="1"/>
  </r>
  <r>
    <x v="234"/>
    <x v="175"/>
    <x v="0"/>
    <s v="Q3"/>
    <x v="6"/>
    <s v="Industrial"/>
    <s v="Uyo"/>
    <x v="2"/>
    <x v="11"/>
    <x v="3"/>
    <s v="Consumables"/>
    <x v="3"/>
    <n v="27000"/>
    <n v="0.1"/>
    <n v="340200"/>
    <s v="Cash"/>
    <x v="4"/>
    <x v="3"/>
  </r>
  <r>
    <x v="235"/>
    <x v="176"/>
    <x v="6"/>
    <s v="Q2"/>
    <x v="7"/>
    <s v="Logistics"/>
    <s v="Warri"/>
    <x v="3"/>
    <x v="17"/>
    <x v="4"/>
    <s v="Electrical"/>
    <x v="9"/>
    <n v="92000"/>
    <n v="0"/>
    <n v="184000"/>
    <s v="Card"/>
    <x v="7"/>
    <x v="3"/>
  </r>
  <r>
    <x v="236"/>
    <x v="177"/>
    <x v="4"/>
    <s v="Q4"/>
    <x v="17"/>
    <s v="Facilities"/>
    <s v="Lagos"/>
    <x v="1"/>
    <x v="15"/>
    <x v="2"/>
    <s v="Calibration"/>
    <x v="7"/>
    <n v="101000"/>
    <n v="0"/>
    <n v="90900"/>
    <s v="Cash"/>
    <x v="4"/>
    <x v="2"/>
  </r>
  <r>
    <x v="237"/>
    <x v="178"/>
    <x v="10"/>
    <s v="Q1"/>
    <x v="17"/>
    <s v="Facilities"/>
    <s v="Lagos"/>
    <x v="1"/>
    <x v="12"/>
    <x v="2"/>
    <s v="Maintenance"/>
    <x v="3"/>
    <n v="170000"/>
    <n v="0.02"/>
    <n v="2332400"/>
    <s v="Purchase Order"/>
    <x v="3"/>
    <x v="1"/>
  </r>
  <r>
    <x v="238"/>
    <x v="106"/>
    <x v="4"/>
    <s v="Q4"/>
    <x v="4"/>
    <s v="Oil &amp; Gas Services"/>
    <s v="Lagos"/>
    <x v="1"/>
    <x v="8"/>
    <x v="2"/>
    <s v="Inspection"/>
    <x v="2"/>
    <n v="137000"/>
    <n v="0"/>
    <n v="2055000"/>
    <s v="Card"/>
    <x v="7"/>
    <x v="1"/>
  </r>
  <r>
    <x v="239"/>
    <x v="23"/>
    <x v="7"/>
    <s v="Q4"/>
    <x v="9"/>
    <s v="Energy"/>
    <s v="Abuja"/>
    <x v="4"/>
    <x v="15"/>
    <x v="2"/>
    <s v="Calibration"/>
    <x v="15"/>
    <n v="86000"/>
    <n v="0.02"/>
    <n v="842800"/>
    <s v="Purchase Order"/>
    <x v="0"/>
    <x v="3"/>
  </r>
  <r>
    <x v="240"/>
    <x v="173"/>
    <x v="5"/>
    <s v="Q2"/>
    <x v="12"/>
    <s v="Engineering"/>
    <s v="Port Harcourt"/>
    <x v="0"/>
    <x v="10"/>
    <x v="1"/>
    <s v="Pump"/>
    <x v="2"/>
    <n v="405000"/>
    <n v="0.02"/>
    <n v="0"/>
    <s v="Purchase Order "/>
    <x v="5"/>
    <x v="0"/>
  </r>
  <r>
    <x v="241"/>
    <x v="84"/>
    <x v="5"/>
    <s v="Q2"/>
    <x v="7"/>
    <s v="Logistics"/>
    <s v="Warri"/>
    <x v="3"/>
    <x v="10"/>
    <x v="1"/>
    <s v="Pump"/>
    <x v="10"/>
    <n v="420000"/>
    <n v="0.1"/>
    <n v="0"/>
    <s v="Bank Transfer"/>
    <x v="3"/>
    <x v="0"/>
  </r>
  <r>
    <x v="242"/>
    <x v="95"/>
    <x v="6"/>
    <s v="Q2"/>
    <x v="1"/>
    <s v="Marine"/>
    <s v="Bonny"/>
    <x v="0"/>
    <x v="8"/>
    <x v="2"/>
    <s v="Inspection"/>
    <x v="15"/>
    <n v="129000"/>
    <n v="0"/>
    <n v="0"/>
    <s v="Card"/>
    <x v="8"/>
    <x v="0"/>
  </r>
  <r>
    <x v="243"/>
    <x v="136"/>
    <x v="11"/>
    <s v="Q3"/>
    <x v="10"/>
    <s v="Marine"/>
    <s v="Warri"/>
    <x v="3"/>
    <x v="8"/>
    <x v="2"/>
    <s v="Inspection"/>
    <x v="7"/>
    <n v="106000"/>
    <n v="0.02"/>
    <n v="0"/>
    <s v="Card"/>
    <x v="5"/>
    <x v="0"/>
  </r>
  <r>
    <x v="244"/>
    <x v="179"/>
    <x v="2"/>
    <s v="Q4"/>
    <x v="3"/>
    <s v="Energy"/>
    <s v="Port Harcourt"/>
    <x v="0"/>
    <x v="16"/>
    <x v="2"/>
    <s v="Maintenance"/>
    <x v="2"/>
    <n v="145000"/>
    <n v="0.1"/>
    <n v="1957500"/>
    <s v="Cash"/>
    <x v="0"/>
    <x v="1"/>
  </r>
  <r>
    <x v="245"/>
    <x v="180"/>
    <x v="9"/>
    <s v="Q1"/>
    <x v="11"/>
    <s v="Industrial"/>
    <s v="Yenagoa"/>
    <x v="5"/>
    <x v="11"/>
    <x v="3"/>
    <s v="Consumables"/>
    <x v="15"/>
    <n v="26000"/>
    <n v="0.1"/>
    <n v="234000"/>
    <s v="Po"/>
    <x v="3"/>
    <x v="1"/>
  </r>
  <r>
    <x v="246"/>
    <x v="181"/>
    <x v="0"/>
    <s v="Q3"/>
    <x v="0"/>
    <s v="Oil &amp; Gas Services"/>
    <s v="Port Harcourt"/>
    <x v="0"/>
    <x v="5"/>
    <x v="1"/>
    <s v="Electrical"/>
    <x v="1"/>
    <n v="495000"/>
    <n v="0.02"/>
    <n v="2910600"/>
    <s v="Bank Transfer"/>
    <x v="6"/>
    <x v="2"/>
  </r>
  <r>
    <x v="247"/>
    <x v="182"/>
    <x v="5"/>
    <s v="Q2"/>
    <x v="10"/>
    <s v="Marine"/>
    <s v="Warri"/>
    <x v="3"/>
    <x v="12"/>
    <x v="2"/>
    <s v="Maintenance"/>
    <x v="13"/>
    <n v="198000"/>
    <n v="0"/>
    <n v="1386000"/>
    <s v="Purchase Order"/>
    <x v="5"/>
    <x v="1"/>
  </r>
  <r>
    <x v="248"/>
    <x v="183"/>
    <x v="4"/>
    <s v="Q4"/>
    <x v="0"/>
    <s v="Oil &amp; Gas Services"/>
    <s v="Port Harcourt"/>
    <x v="0"/>
    <x v="9"/>
    <x v="1"/>
    <s v="Valve"/>
    <x v="15"/>
    <n v="148000"/>
    <n v="0.1"/>
    <n v="1332000"/>
    <s v="Purchase Order"/>
    <x v="2"/>
    <x v="1"/>
  </r>
  <r>
    <x v="249"/>
    <x v="133"/>
    <x v="1"/>
    <s v="Q2"/>
    <x v="19"/>
    <s v="Oil &amp; Gas Services"/>
    <s v="Lagos"/>
    <x v="1"/>
    <x v="2"/>
    <x v="1"/>
    <s v="Valve"/>
    <x v="16"/>
    <n v="264000"/>
    <n v="0.1"/>
    <n v="3564000"/>
    <s v="Bank Transfer"/>
    <x v="7"/>
    <x v="1"/>
  </r>
  <r>
    <x v="250"/>
    <x v="18"/>
    <x v="9"/>
    <s v="Q1"/>
    <x v="17"/>
    <s v="Facilities"/>
    <s v="Lagos"/>
    <x v="1"/>
    <x v="4"/>
    <x v="1"/>
    <s v="Pump"/>
    <x v="2"/>
    <n v="747000"/>
    <n v="0.05"/>
    <n v="10644750"/>
    <s v="Cash"/>
    <x v="7"/>
    <x v="2"/>
  </r>
  <r>
    <x v="251"/>
    <x v="81"/>
    <x v="1"/>
    <s v="Q2"/>
    <x v="13"/>
    <s v="Energy"/>
    <s v="Abuja"/>
    <x v="4"/>
    <x v="3"/>
    <x v="1"/>
    <s v="Fabrication"/>
    <x v="5"/>
    <n v="357000"/>
    <n v="0"/>
    <n v="1428000"/>
    <s v="Card"/>
    <x v="6"/>
    <x v="2"/>
  </r>
  <r>
    <x v="252"/>
    <x v="184"/>
    <x v="9"/>
    <s v="Q1"/>
    <x v="16"/>
    <s v="Engineering"/>
    <s v="Warri"/>
    <x v="3"/>
    <x v="14"/>
    <x v="0"/>
    <s v="PPE"/>
    <x v="8"/>
    <n v="40000"/>
    <n v="0"/>
    <n v="0"/>
    <s v="Cash"/>
    <x v="2"/>
    <x v="0"/>
  </r>
  <r>
    <x v="253"/>
    <x v="57"/>
    <x v="1"/>
    <s v="Q2"/>
    <x v="7"/>
    <s v="Logistics"/>
    <s v="Warri"/>
    <x v="3"/>
    <x v="13"/>
    <x v="0"/>
    <s v="PPE"/>
    <x v="4"/>
    <n v="80000"/>
    <n v="0.05"/>
    <n v="0"/>
    <s v="Card"/>
    <x v="5"/>
    <x v="0"/>
  </r>
  <r>
    <x v="254"/>
    <x v="70"/>
    <x v="8"/>
    <s v="Q1"/>
    <x v="4"/>
    <s v="Oil &amp; Gas Services"/>
    <s v="Lagos"/>
    <x v="1"/>
    <x v="10"/>
    <x v="1"/>
    <s v="Pump"/>
    <x v="0"/>
    <n v="392000"/>
    <n v="0.1"/>
    <n v="3175200"/>
    <s v="Card"/>
    <x v="6"/>
    <x v="2"/>
  </r>
  <r>
    <x v="255"/>
    <x v="185"/>
    <x v="9"/>
    <s v="Q1"/>
    <x v="1"/>
    <s v="Marine"/>
    <s v="Bonny"/>
    <x v="0"/>
    <x v="6"/>
    <x v="1"/>
    <s v="Instrumentation"/>
    <x v="10"/>
    <n v="282000"/>
    <n v="0"/>
    <n v="2256000"/>
    <s v="Card"/>
    <x v="0"/>
    <x v="2"/>
  </r>
  <r>
    <x v="256"/>
    <x v="186"/>
    <x v="0"/>
    <s v="Q3"/>
    <x v="14"/>
    <s v="Oil &amp; Gas Services"/>
    <s v="Owerri"/>
    <x v="6"/>
    <x v="9"/>
    <x v="1"/>
    <s v="Valve"/>
    <x v="12"/>
    <n v="130000"/>
    <n v="0.1"/>
    <n v="0"/>
    <s v="Bank Transfer"/>
    <x v="2"/>
    <x v="0"/>
  </r>
  <r>
    <x v="257"/>
    <x v="89"/>
    <x v="2"/>
    <s v="Q4"/>
    <x v="19"/>
    <s v="Procurement"/>
    <s v="Lagos"/>
    <x v="1"/>
    <x v="6"/>
    <x v="1"/>
    <s v="Instrumentation"/>
    <x v="16"/>
    <n v="6800000"/>
    <n v="0.05"/>
    <n v="1505750"/>
    <s v="Purchase Order"/>
    <x v="4"/>
    <x v="1"/>
  </r>
  <r>
    <x v="258"/>
    <x v="4"/>
    <x v="3"/>
    <s v="Q3"/>
    <x v="16"/>
    <s v="Engineering"/>
    <s v="Warri"/>
    <x v="3"/>
    <x v="17"/>
    <x v="4"/>
    <s v="Electrical"/>
    <x v="2"/>
    <n v="104000"/>
    <n v="0.05"/>
    <n v="1482000"/>
    <s v="Purchase Order"/>
    <x v="5"/>
    <x v="2"/>
  </r>
  <r>
    <x v="259"/>
    <x v="187"/>
    <x v="4"/>
    <s v="Q4"/>
    <x v="9"/>
    <s v="Energy"/>
    <s v="Abuja"/>
    <x v="4"/>
    <x v="11"/>
    <x v="3"/>
    <s v="Consumables"/>
    <x v="9"/>
    <n v="25000"/>
    <n v="0"/>
    <n v="50000"/>
    <s v="Card"/>
    <x v="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s v="TRX-10121"/>
    <d v="2025-08-02T00:00:00"/>
    <s v="August"/>
    <x v="0"/>
    <x v="0"/>
    <s v="Oil &amp; Gas Services"/>
    <s v="Port Harcourt"/>
    <s v="Rivers"/>
    <x v="0"/>
    <x v="0"/>
    <s v="PPE"/>
    <n v="9"/>
    <n v="20000"/>
    <n v="0.02"/>
    <n v="0"/>
  </r>
  <r>
    <s v="TRX-10025"/>
    <d v="2025-05-09T00:00:00"/>
    <s v="May"/>
    <x v="1"/>
    <x v="1"/>
    <s v="Marine"/>
    <s v="Bonny"/>
    <s v="Rivers"/>
    <x v="1"/>
    <x v="1"/>
    <s v="Instrumentation"/>
    <n v="6"/>
    <n v="85000"/>
    <n v="0"/>
    <n v="0"/>
  </r>
  <r>
    <s v="TRX-10072"/>
    <d v="2025-05-22T00:00:00"/>
    <s v="May"/>
    <x v="1"/>
    <x v="2"/>
    <s v="Procurement"/>
    <s v="Lagos"/>
    <s v="Lagos"/>
    <x v="2"/>
    <x v="1"/>
    <s v="Valve"/>
    <n v="15"/>
    <n v="224000"/>
    <n v="0.1"/>
    <n v="3024000"/>
  </r>
  <r>
    <s v="TRX-10161"/>
    <d v="2025-11-04T00:00:00"/>
    <s v="November"/>
    <x v="2"/>
    <x v="3"/>
    <s v="Energy"/>
    <s v="Port Harcourt"/>
    <s v="Rivers"/>
    <x v="3"/>
    <x v="1"/>
    <s v="Fabrication"/>
    <n v="14"/>
    <n v="343000"/>
    <n v="0"/>
    <n v="4802000"/>
  </r>
  <r>
    <s v="TRX-10174"/>
    <d v="2025-07-03T00:00:00"/>
    <s v="July"/>
    <x v="0"/>
    <x v="4"/>
    <s v="Oil &amp; Gas Services"/>
    <s v="Lagos"/>
    <s v="Lagos"/>
    <x v="4"/>
    <x v="1"/>
    <s v="Pump"/>
    <n v="5"/>
    <n v="640000"/>
    <n v="0.1"/>
    <n v="2880000"/>
  </r>
  <r>
    <s v="TRX-10126"/>
    <d v="2025-10-12T00:00:00"/>
    <s v="October"/>
    <x v="2"/>
    <x v="5"/>
    <s v="Oil &amp; Gas Services"/>
    <s v="Lagos"/>
    <s v="Lagos"/>
    <x v="5"/>
    <x v="1"/>
    <s v="Electrical"/>
    <n v="4"/>
    <n v="518000"/>
    <n v="0.1"/>
    <n v="0"/>
  </r>
  <r>
    <s v="TRX-10258"/>
    <d v="2025-06-05T00:00:00"/>
    <s v="June"/>
    <x v="1"/>
    <x v="6"/>
    <s v="Industrial"/>
    <s v="Uyo"/>
    <s v="Akwa Ibom"/>
    <x v="6"/>
    <x v="1"/>
    <s v="Instrumentation"/>
    <n v="5"/>
    <n v="331000"/>
    <n v="0.05"/>
    <n v="1572250"/>
  </r>
  <r>
    <s v="TRX-10236"/>
    <d v="2025-05-23T00:00:00"/>
    <s v="May"/>
    <x v="1"/>
    <x v="0"/>
    <s v="Oil &amp; Gas Services"/>
    <s v="Port Harcourt"/>
    <s v="Rivers"/>
    <x v="1"/>
    <x v="1"/>
    <s v="Instrumentation"/>
    <n v="11"/>
    <n v="91000"/>
    <n v="0.05"/>
    <n v="950950"/>
  </r>
  <r>
    <s v="TRX-10186"/>
    <d v="2025-05-31T00:00:00"/>
    <s v="May"/>
    <x v="1"/>
    <x v="2"/>
    <s v="Procurement"/>
    <s v="Lagos"/>
    <s v="Lagos"/>
    <x v="6"/>
    <x v="1"/>
    <s v="Instrumentation"/>
    <n v="1"/>
    <n v="328000"/>
    <n v="0.05"/>
    <n v="311600"/>
  </r>
  <r>
    <s v="TRX-10037"/>
    <d v="2025-04-08T00:00:00"/>
    <s v="April"/>
    <x v="1"/>
    <x v="7"/>
    <s v="Logistics"/>
    <s v="Warri"/>
    <s v="Delta"/>
    <x v="1"/>
    <x v="1"/>
    <s v="Instrumentation"/>
    <n v="11"/>
    <n v="82000"/>
    <n v="0"/>
    <n v="902000"/>
  </r>
  <r>
    <s v="TRX-10073"/>
    <d v="2025-05-01T00:00:00"/>
    <s v="May"/>
    <x v="1"/>
    <x v="8"/>
    <s v="Environmental"/>
    <s v="Port Harcourt"/>
    <s v="Rivers"/>
    <x v="7"/>
    <x v="0"/>
    <s v="Safety"/>
    <n v="12"/>
    <n v="172000"/>
    <n v="0"/>
    <n v="2064000"/>
  </r>
  <r>
    <s v="TRX-10030"/>
    <d v="2025-07-28T00:00:00"/>
    <s v="July"/>
    <x v="0"/>
    <x v="2"/>
    <s v="Procurement"/>
    <s v="Lagos"/>
    <s v="Lagos"/>
    <x v="6"/>
    <x v="1"/>
    <s v="Instrumentation"/>
    <n v="4"/>
    <n v="277000"/>
    <n v="0"/>
    <n v="1108000"/>
  </r>
  <r>
    <s v="TRX-10224"/>
    <d v="2025-12-09T00:00:00"/>
    <s v="December"/>
    <x v="2"/>
    <x v="7"/>
    <s v="Logistics"/>
    <s v="Warri"/>
    <s v="Delta"/>
    <x v="8"/>
    <x v="2"/>
    <s v="Inspection"/>
    <n v="6"/>
    <n v="118000"/>
    <n v="0"/>
    <n v="0"/>
  </r>
  <r>
    <s v="TRX-10217"/>
    <d v="2025-07-24T00:00:00"/>
    <s v="July"/>
    <x v="0"/>
    <x v="9"/>
    <s v="Energy"/>
    <s v="Abuja"/>
    <s v="FCT"/>
    <x v="9"/>
    <x v="1"/>
    <s v="Valve"/>
    <n v="4"/>
    <n v="140000"/>
    <n v="0.05"/>
    <n v="532000"/>
  </r>
  <r>
    <s v="TRX-10032"/>
    <d v="2025-01-28T00:00:00"/>
    <s v="January"/>
    <x v="3"/>
    <x v="10"/>
    <s v="Marine"/>
    <s v="Warri"/>
    <s v="Delta"/>
    <x v="10"/>
    <x v="1"/>
    <s v="Pump"/>
    <n v="2"/>
    <n v="389000"/>
    <n v="1.5"/>
    <n v="778000"/>
  </r>
  <r>
    <s v="TRX-10228"/>
    <d v="2025-11-22T00:00:00"/>
    <s v="November"/>
    <x v="2"/>
    <x v="11"/>
    <s v="Industrial"/>
    <s v="Yenagoa"/>
    <s v="Bayelsa"/>
    <x v="7"/>
    <x v="0"/>
    <s v="Safety"/>
    <n v="2"/>
    <n v="192000"/>
    <n v="0.05"/>
    <n v="364800"/>
  </r>
  <r>
    <s v="TRX-10091"/>
    <d v="2025-05-07T00:00:00"/>
    <s v="May"/>
    <x v="1"/>
    <x v="6"/>
    <s v="Industrial"/>
    <s v="Uyo"/>
    <s v="Akwa Ibom"/>
    <x v="5"/>
    <x v="1"/>
    <s v="Electrical"/>
    <n v="6"/>
    <n v="474000"/>
    <n v="0"/>
    <n v="2844000"/>
  </r>
  <r>
    <s v="TRX-10031"/>
    <d v="2025-08-07T00:00:00"/>
    <s v="August"/>
    <x v="0"/>
    <x v="11"/>
    <s v="Industrial"/>
    <s v="Yenagoa"/>
    <s v="Bayelsa"/>
    <x v="3"/>
    <x v="1"/>
    <s v="Fabrication"/>
    <n v="8"/>
    <n v="365000"/>
    <n v="0"/>
    <n v="2920000"/>
  </r>
  <r>
    <s v="TRX-10167"/>
    <d v="2025-02-13T00:00:00"/>
    <s v="February"/>
    <x v="3"/>
    <x v="2"/>
    <s v="Procurement"/>
    <s v="Lagos"/>
    <s v="Lagos"/>
    <x v="7"/>
    <x v="0"/>
    <s v="Safety"/>
    <n v="2"/>
    <n v="188000"/>
    <n v="0"/>
    <n v="376000"/>
  </r>
  <r>
    <s v="TRX-10021"/>
    <d v="2025-01-12T00:00:00"/>
    <s v="January"/>
    <x v="3"/>
    <x v="12"/>
    <s v="Engineering"/>
    <s v="Port Harcourt"/>
    <s v="Rivers"/>
    <x v="9"/>
    <x v="1"/>
    <s v="Valve"/>
    <n v="15"/>
    <n v="152000"/>
    <n v="0.02"/>
    <n v="2234400"/>
  </r>
  <r>
    <s v="TRX-10213"/>
    <d v="2025-08-27T00:00:00"/>
    <s v="August"/>
    <x v="0"/>
    <x v="13"/>
    <s v="Energy"/>
    <s v="Abuja"/>
    <s v="FCT"/>
    <x v="5"/>
    <x v="1"/>
    <s v="Electrical"/>
    <n v="9"/>
    <n v="549000"/>
    <n v="0.1"/>
    <n v="4446900"/>
  </r>
  <r>
    <s v="TRX-10168"/>
    <d v="2025-11-04T00:00:00"/>
    <s v="November"/>
    <x v="2"/>
    <x v="9"/>
    <s v="Energy"/>
    <s v="Abuja"/>
    <s v="FCT"/>
    <x v="11"/>
    <x v="3"/>
    <s v="Consumables"/>
    <n v="8"/>
    <n v="26000"/>
    <n v="0"/>
    <n v="0"/>
  </r>
  <r>
    <s v="TRX-10137"/>
    <d v="2025-01-17T00:00:00"/>
    <s v="January"/>
    <x v="3"/>
    <x v="0"/>
    <s v="Oil &amp; Gas Services"/>
    <s v="Port Harcourt"/>
    <s v="Rivers"/>
    <x v="2"/>
    <x v="1"/>
    <s v="Valve"/>
    <n v="13"/>
    <n v="245000"/>
    <n v="0"/>
    <n v="3185000"/>
  </r>
  <r>
    <s v="TRX-10081"/>
    <d v="2025-08-06T00:00:00"/>
    <s v="August"/>
    <x v="0"/>
    <x v="14"/>
    <s v="Oil &amp; Gas Services"/>
    <s v="Owerri"/>
    <s v="Imo"/>
    <x v="1"/>
    <x v="1"/>
    <s v="Instrumentation"/>
    <n v="8"/>
    <n v="95000"/>
    <n v="0"/>
    <n v="760000"/>
  </r>
  <r>
    <s v="TRX-10043"/>
    <d v="2025-12-10T00:00:00"/>
    <s v="December"/>
    <x v="2"/>
    <x v="10"/>
    <s v="Marine"/>
    <s v="Warri"/>
    <s v="Delta"/>
    <x v="11"/>
    <x v="3"/>
    <s v="Consumables"/>
    <n v="15"/>
    <n v="25000"/>
    <n v="0"/>
    <n v="375000"/>
  </r>
  <r>
    <s v="TRX-10053"/>
    <d v="2025-04-26T00:00:00"/>
    <s v="April"/>
    <x v="1"/>
    <x v="15"/>
    <s v="Engineering"/>
    <s v="Port Harcourt"/>
    <s v="Rivers"/>
    <x v="12"/>
    <x v="2"/>
    <s v="Maintenance"/>
    <n v="6"/>
    <n v="204000"/>
    <n v="0.02"/>
    <n v="99999999"/>
  </r>
  <r>
    <s v="TRX-10020"/>
    <d v="2025-03-22T00:00:00"/>
    <s v="March"/>
    <x v="3"/>
    <x v="16"/>
    <s v="Engineering"/>
    <s v="Warri"/>
    <s v="Delta"/>
    <x v="13"/>
    <x v="0"/>
    <s v="PPE"/>
    <n v="9"/>
    <n v="72000"/>
    <n v="0.1"/>
    <n v="583200"/>
  </r>
  <r>
    <s v="TRX-10255"/>
    <d v="2025-05-08T00:00:00"/>
    <s v="May"/>
    <x v="1"/>
    <x v="8"/>
    <s v="Environmental"/>
    <s v="Port Harcourt"/>
    <s v="Rivers"/>
    <x v="11"/>
    <x v="3"/>
    <s v="Consumables"/>
    <n v="8"/>
    <n v="26000"/>
    <n v="0"/>
    <n v="208000"/>
  </r>
  <r>
    <s v="TRX-10201"/>
    <d v="2025-02-15T00:00:00"/>
    <s v="February"/>
    <x v="3"/>
    <x v="9"/>
    <s v="Energy"/>
    <s v="Abuja"/>
    <s v="FCT"/>
    <x v="13"/>
    <x v="0"/>
    <s v="PPE"/>
    <n v="1"/>
    <n v="79000"/>
    <n v="0"/>
    <n v="79000"/>
  </r>
  <r>
    <s v="TRX-10086"/>
    <d v="2025-04-14T00:00:00"/>
    <s v="April"/>
    <x v="1"/>
    <x v="7"/>
    <s v="Logistics"/>
    <s v="Warri"/>
    <s v="Delta"/>
    <x v="14"/>
    <x v="0"/>
    <s v="PPE"/>
    <n v="2"/>
    <n v="41000"/>
    <n v="0.02"/>
    <n v="80360"/>
  </r>
  <r>
    <s v="TRX-10175"/>
    <d v="2025-10-25T00:00:00"/>
    <s v="October"/>
    <x v="2"/>
    <x v="9"/>
    <s v="Energy"/>
    <s v="Abuja"/>
    <s v="FCT"/>
    <x v="0"/>
    <x v="0"/>
    <s v="PPE"/>
    <n v="3"/>
    <n v="19000"/>
    <n v="0.05"/>
    <n v="54150"/>
  </r>
  <r>
    <s v="TRX-10143"/>
    <d v="2025-10-22T00:00:00"/>
    <s v="October"/>
    <x v="2"/>
    <x v="16"/>
    <s v="Engineering"/>
    <s v="Warri"/>
    <s v="Delta"/>
    <x v="11"/>
    <x v="3"/>
    <s v="Consumables"/>
    <n v="12"/>
    <n v="28000"/>
    <n v="0.02"/>
    <n v="329280"/>
  </r>
  <r>
    <s v="TRX-10010"/>
    <d v="2025-11-10T00:00:00"/>
    <s v="November"/>
    <x v="2"/>
    <x v="11"/>
    <s v="Industrial"/>
    <s v="Yenagoa"/>
    <s v="Bayelsa"/>
    <x v="15"/>
    <x v="2"/>
    <s v="Calibration"/>
    <n v="12"/>
    <n v="102000"/>
    <n v="0"/>
    <n v="1224000"/>
  </r>
  <r>
    <s v="TRX-10216"/>
    <d v="2025-02-18T00:00:00"/>
    <s v="February"/>
    <x v="3"/>
    <x v="1"/>
    <s v="Marine"/>
    <s v="Bonny"/>
    <s v="Rivers"/>
    <x v="12"/>
    <x v="2"/>
    <s v="Maintenance"/>
    <n v="15"/>
    <n v="170000"/>
    <n v="0.02"/>
    <n v="2499000"/>
  </r>
  <r>
    <s v="TRX-10172"/>
    <d v="2025-02-18T00:00:00"/>
    <s v="February"/>
    <x v="3"/>
    <x v="7"/>
    <s v="Logistics"/>
    <s v="Warri"/>
    <s v="Delta"/>
    <x v="1"/>
    <x v="1"/>
    <s v="Instrumentation"/>
    <n v="7"/>
    <n v="75000"/>
    <n v="0"/>
    <n v="525000"/>
  </r>
  <r>
    <s v="TRX-10248"/>
    <d v="2025-06-14T00:00:00"/>
    <s v="June"/>
    <x v="1"/>
    <x v="7"/>
    <s v="Logistics"/>
    <s v="Warri"/>
    <s v="Delta"/>
    <x v="12"/>
    <x v="2"/>
    <s v="Maintenance"/>
    <n v="8"/>
    <n v="205000"/>
    <n v="0.1"/>
    <n v="1476000"/>
  </r>
  <r>
    <s v="TRX-10006"/>
    <d v="2025-02-21T00:00:00"/>
    <s v="February"/>
    <x v="3"/>
    <x v="16"/>
    <s v="Engineering"/>
    <s v="Warri"/>
    <s v="Delta"/>
    <x v="9"/>
    <x v="1"/>
    <s v="Valve"/>
    <n v="150"/>
    <n v="134000"/>
    <n v="0.02"/>
    <n v="1313200"/>
  </r>
  <r>
    <s v="TRX-10096"/>
    <d v="2025-10-13T00:00:00"/>
    <s v="October"/>
    <x v="2"/>
    <x v="9"/>
    <s v="Energy"/>
    <s v="Abuja"/>
    <s v="FCT"/>
    <x v="9"/>
    <x v="1"/>
    <s v="Valve"/>
    <n v="7"/>
    <n v="147000"/>
    <n v="0.1"/>
    <n v="926100"/>
  </r>
  <r>
    <s v="TRX-10237"/>
    <d v="2025-03-17T00:00:00"/>
    <s v="March"/>
    <x v="3"/>
    <x v="17"/>
    <s v="Facilities"/>
    <s v="Lagos"/>
    <s v="Lagos"/>
    <x v="12"/>
    <x v="2"/>
    <s v="Maintenance"/>
    <n v="1"/>
    <n v="172000"/>
    <n v="0"/>
    <n v="172000"/>
  </r>
  <r>
    <s v="TRX-10158"/>
    <d v="2025-02-03T00:00:00"/>
    <s v="February"/>
    <x v="3"/>
    <x v="8"/>
    <s v="Environmental"/>
    <s v="Port Harcourt"/>
    <s v="Rivers"/>
    <x v="3"/>
    <x v="1"/>
    <s v="Fabrication"/>
    <n v="4"/>
    <n v="380000"/>
    <n v="0"/>
    <n v="1520000"/>
  </r>
  <r>
    <s v="TRX-10108"/>
    <d v="2025-05-05T00:00:00"/>
    <s v="May"/>
    <x v="1"/>
    <x v="11"/>
    <s v="Industrial"/>
    <s v="Yenagoa"/>
    <s v="Bayelsa"/>
    <x v="15"/>
    <x v="2"/>
    <s v="Calibration"/>
    <n v="2"/>
    <n v="103000"/>
    <n v="0"/>
    <n v="206000"/>
  </r>
  <r>
    <s v="TRX-10182"/>
    <d v="2025-12-14T00:00:00"/>
    <s v="December"/>
    <x v="2"/>
    <x v="7"/>
    <s v="Logistics"/>
    <s v="Warri"/>
    <s v="Delta"/>
    <x v="3"/>
    <x v="1"/>
    <s v="Fabrication"/>
    <n v="8"/>
    <n v="319000"/>
    <n v="0.05"/>
    <n v="2424400"/>
  </r>
  <r>
    <s v="TRX-10194"/>
    <d v="2025-04-01T00:00:00"/>
    <s v="April"/>
    <x v="1"/>
    <x v="17"/>
    <s v="Facilities"/>
    <s v="Lagos"/>
    <s v="Lagos"/>
    <x v="7"/>
    <x v="0"/>
    <s v="Safety"/>
    <n v="13"/>
    <n v="205000"/>
    <n v="0"/>
    <n v="2665000"/>
  </r>
  <r>
    <s v="TRX-10123"/>
    <d v="2025-03-06T00:00:00"/>
    <s v="March"/>
    <x v="3"/>
    <x v="3"/>
    <s v="Energy"/>
    <s v="Port Harcourt"/>
    <s v="Rivers"/>
    <x v="14"/>
    <x v="0"/>
    <s v="PPE"/>
    <n v="12"/>
    <n v="41000"/>
    <n v="0"/>
    <n v="492000"/>
  </r>
  <r>
    <s v="TRX-10152"/>
    <d v="2025-12-14T00:00:00"/>
    <s v="December"/>
    <x v="2"/>
    <x v="1"/>
    <s v="Marine"/>
    <s v="Bonny"/>
    <s v="Rivers"/>
    <x v="16"/>
    <x v="2"/>
    <s v="Maintenance"/>
    <n v="1"/>
    <n v="142000"/>
    <n v="0.1"/>
    <n v="0"/>
  </r>
  <r>
    <s v="TRX-10101"/>
    <d v="2025-01-30T00:00:00"/>
    <s v="January"/>
    <x v="3"/>
    <x v="10"/>
    <s v="Marine"/>
    <s v="Warri"/>
    <s v="Delta"/>
    <x v="11"/>
    <x v="3"/>
    <s v="Consumables"/>
    <n v="12"/>
    <n v="25000"/>
    <n v="0"/>
    <n v="300000"/>
  </r>
  <r>
    <s v="TRX-10054"/>
    <d v="2025-12-06T00:00:00"/>
    <s v="December"/>
    <x v="2"/>
    <x v="15"/>
    <s v="Engineering"/>
    <s v="Port Harcourt"/>
    <s v="Rivers"/>
    <x v="5"/>
    <x v="1"/>
    <s v="Electrical"/>
    <n v="6"/>
    <n v="583000"/>
    <n v="0.02"/>
    <n v="3428040"/>
  </r>
  <r>
    <s v="TRX-10166"/>
    <d v="2025-09-05T00:00:00"/>
    <s v="September"/>
    <x v="0"/>
    <x v="8"/>
    <s v="Environmental"/>
    <s v="Port Harcourt"/>
    <s v="Rivers"/>
    <x v="17"/>
    <x v="4"/>
    <s v="Electrical"/>
    <n v="11"/>
    <n v="105000"/>
    <n v="0"/>
    <n v="1155000"/>
  </r>
  <r>
    <s v="TRX-10133"/>
    <d v="2025-01-10T00:00:00"/>
    <s v="January"/>
    <x v="3"/>
    <x v="5"/>
    <s v="Oil &amp; Gas Services"/>
    <s v="Lagos"/>
    <s v="Lagos"/>
    <x v="17"/>
    <x v="4"/>
    <s v="Electrical"/>
    <n v="14"/>
    <n v="87000"/>
    <n v="0"/>
    <n v="1218000"/>
  </r>
  <r>
    <s v="TRX-10033"/>
    <d v="2025-09-06T00:00:00"/>
    <s v="September"/>
    <x v="0"/>
    <x v="15"/>
    <s v="Engineering"/>
    <s v="Port Harcourt"/>
    <s v="Rivers"/>
    <x v="5"/>
    <x v="1"/>
    <s v="Electrical"/>
    <n v="15"/>
    <n v="467000"/>
    <n v="0"/>
    <n v="7005000"/>
  </r>
  <r>
    <s v="TRX-10251"/>
    <d v="2025-05-11T00:00:00"/>
    <s v="May"/>
    <x v="1"/>
    <x v="15"/>
    <s v="Engineering"/>
    <s v="Port Harcourt"/>
    <s v="Rivers"/>
    <x v="15"/>
    <x v="2"/>
    <s v="Calibration"/>
    <n v="5"/>
    <n v="91000"/>
    <n v="0"/>
    <n v="455000"/>
  </r>
  <r>
    <s v="TRX-10128"/>
    <d v="2025-06-04T00:00:00"/>
    <s v="June"/>
    <x v="1"/>
    <x v="18"/>
    <s v="Inspection"/>
    <s v="Port Harcourt"/>
    <s v="Rivers"/>
    <x v="16"/>
    <x v="2"/>
    <s v="Maintenance"/>
    <n v="14"/>
    <n v="167000"/>
    <n v="0"/>
    <n v="2338000"/>
  </r>
  <r>
    <s v="TRX-10083"/>
    <d v="2025-11-17T00:00:00"/>
    <s v="November"/>
    <x v="2"/>
    <x v="5"/>
    <s v="Oil &amp; Gas Services"/>
    <s v="Lagos"/>
    <s v="Lagos"/>
    <x v="14"/>
    <x v="0"/>
    <s v="PPE"/>
    <n v="3"/>
    <n v="41000"/>
    <n v="0.05"/>
    <n v="116850"/>
  </r>
  <r>
    <s v="TRX-10022"/>
    <d v="2025-10-20T00:00:00"/>
    <s v="October"/>
    <x v="2"/>
    <x v="7"/>
    <s v="Logistics"/>
    <s v="Warri"/>
    <s v="Delta"/>
    <x v="1"/>
    <x v="1"/>
    <s v="Instrumentation"/>
    <n v="12"/>
    <n v="78000"/>
    <n v="0.05"/>
    <n v="889200"/>
  </r>
  <r>
    <s v="TRX-10062"/>
    <d v="2025-10-10T00:00:00"/>
    <s v="October"/>
    <x v="2"/>
    <x v="3"/>
    <s v="Energy"/>
    <s v="Port Harcourt"/>
    <s v="Rivers"/>
    <x v="11"/>
    <x v="3"/>
    <s v="Consumables"/>
    <n v="5"/>
    <n v="27000"/>
    <n v="0"/>
    <n v="135000"/>
  </r>
  <r>
    <s v="TRX-10202"/>
    <d v="2025-09-28T00:00:00"/>
    <s v="September"/>
    <x v="0"/>
    <x v="9"/>
    <s v="Energy"/>
    <s v="Abuja"/>
    <s v="FCT"/>
    <x v="13"/>
    <x v="0"/>
    <s v="PPE"/>
    <n v="6"/>
    <n v="68000"/>
    <n v="0.02"/>
    <n v="399840"/>
  </r>
  <r>
    <s v="TRX-10038"/>
    <d v="2025-10-26T00:00:00"/>
    <s v="October"/>
    <x v="2"/>
    <x v="17"/>
    <s v="Facilities"/>
    <s v="Lagos"/>
    <s v="Lagos"/>
    <x v="4"/>
    <x v="1"/>
    <s v="Pump"/>
    <n v="10"/>
    <n v="616000"/>
    <n v="0"/>
    <n v="6160000"/>
  </r>
  <r>
    <s v="TRX-10240"/>
    <d v="2025-06-12T00:00:00"/>
    <s v="June"/>
    <x v="1"/>
    <x v="14"/>
    <s v="Oil &amp; Gas Services"/>
    <s v="Owerri"/>
    <s v="Imo"/>
    <x v="14"/>
    <x v="0"/>
    <s v="PPE"/>
    <n v="2"/>
    <n v="39000"/>
    <n v="0"/>
    <n v="78000"/>
  </r>
  <r>
    <s v="TRX-10056"/>
    <d v="2025-05-16T00:00:00"/>
    <s v="May"/>
    <x v="1"/>
    <x v="11"/>
    <s v="Industrial"/>
    <s v="Yenagoa"/>
    <s v="Bayelsa"/>
    <x v="3"/>
    <x v="1"/>
    <s v="Fabrication"/>
    <n v="1"/>
    <n v="395000"/>
    <n v="0"/>
    <n v="0"/>
  </r>
  <r>
    <s v="TRX-10242"/>
    <d v="2025-11-12T00:00:00"/>
    <s v="November"/>
    <x v="2"/>
    <x v="13"/>
    <s v="Energy"/>
    <s v="Abuja"/>
    <s v="FCT"/>
    <x v="16"/>
    <x v="2"/>
    <s v="Maintenance"/>
    <n v="4"/>
    <n v="171000"/>
    <n v="0"/>
    <n v="684000"/>
  </r>
  <r>
    <s v="TRX-10064"/>
    <d v="2025-05-28T00:00:00"/>
    <s v="May"/>
    <x v="1"/>
    <x v="9"/>
    <s v="Energy"/>
    <s v="Abuja"/>
    <s v="FCT"/>
    <x v="2"/>
    <x v="1"/>
    <s v="Valve"/>
    <n v="2"/>
    <n v="234000"/>
    <n v="0"/>
    <n v="468000"/>
  </r>
  <r>
    <s v="TRX-10233"/>
    <d v="2025-08-08T00:00:00"/>
    <s v="August"/>
    <x v="0"/>
    <x v="7"/>
    <s v="Logistics"/>
    <s v="Warri"/>
    <s v="Delta"/>
    <x v="17"/>
    <x v="4"/>
    <s v="Electrical"/>
    <n v="10"/>
    <n v="98000"/>
    <n v="0"/>
    <n v="0"/>
  </r>
  <r>
    <s v="TRX-10218"/>
    <d v="2025-01-17T00:00:00"/>
    <s v="January"/>
    <x v="3"/>
    <x v="2"/>
    <s v="Procurement"/>
    <s v="Lagos"/>
    <s v="Lagos"/>
    <x v="6"/>
    <x v="1"/>
    <s v="Instrumentation"/>
    <n v="14"/>
    <n v="335000"/>
    <n v="0.02"/>
    <n v="4596200"/>
  </r>
  <r>
    <s v="TRX-10080"/>
    <d v="2025-07-16T00:00:00"/>
    <s v="July"/>
    <x v="0"/>
    <x v="2"/>
    <s v="Procurement"/>
    <s v="Lagos"/>
    <s v="Lagos"/>
    <x v="0"/>
    <x v="0"/>
    <s v="PPE"/>
    <n v="8"/>
    <n v="16000"/>
    <n v="0.02"/>
    <n v="125440"/>
  </r>
  <r>
    <s v="TRX-10113"/>
    <d v="2025-08-30T00:00:00"/>
    <s v="August"/>
    <x v="0"/>
    <x v="13"/>
    <s v="Energy"/>
    <s v="Abuja"/>
    <s v="FCT"/>
    <x v="5"/>
    <x v="1"/>
    <s v="Electrical"/>
    <n v="5"/>
    <n v="588000"/>
    <n v="0.1"/>
    <n v="0"/>
  </r>
  <r>
    <s v="TRX-10029"/>
    <d v="2025-08-07T00:00:00"/>
    <s v="August"/>
    <x v="0"/>
    <x v="4"/>
    <s v="Oil &amp; Gas Services"/>
    <s v="Lagos"/>
    <s v="Lagos"/>
    <x v="12"/>
    <x v="2"/>
    <s v="Maintenance"/>
    <n v="14"/>
    <n v="187000"/>
    <n v="0"/>
    <n v="2618000"/>
  </r>
  <r>
    <s v="TRX-10221"/>
    <d v="2025-05-30T00:00:00"/>
    <s v="May"/>
    <x v="1"/>
    <x v="1"/>
    <s v="Marine"/>
    <s v="Bonny"/>
    <s v="Rivers"/>
    <x v="11"/>
    <x v="3"/>
    <s v="Consumables"/>
    <n v="2"/>
    <n v="30000"/>
    <n v="0"/>
    <n v="60000"/>
  </r>
  <r>
    <s v="TRX-10034"/>
    <d v="2025-07-21T00:00:00"/>
    <s v="July"/>
    <x v="0"/>
    <x v="14"/>
    <s v="Oil &amp; Gas Services"/>
    <s v="Owerri"/>
    <s v="Imo"/>
    <x v="12"/>
    <x v="2"/>
    <s v="Maintenance"/>
    <n v="5"/>
    <n v="205000"/>
    <n v="0.05"/>
    <n v="973750"/>
  </r>
  <r>
    <s v="TRX-10067"/>
    <d v="2025-03-19T00:00:00"/>
    <s v="March"/>
    <x v="3"/>
    <x v="3"/>
    <s v="Energy"/>
    <s v="Port Harcourt"/>
    <s v="Rivers"/>
    <x v="6"/>
    <x v="1"/>
    <s v="Instrumentation"/>
    <n v="13"/>
    <n v="285000"/>
    <n v="0.05"/>
    <n v="3519750"/>
  </r>
  <r>
    <s v="TRX-10222"/>
    <d v="2025-02-04T00:00:00"/>
    <s v="February"/>
    <x v="3"/>
    <x v="12"/>
    <s v="Engineering"/>
    <s v="Port Harcourt"/>
    <s v="Rivers"/>
    <x v="16"/>
    <x v="2"/>
    <s v="Maintenance"/>
    <n v="10"/>
    <n v="155000"/>
    <n v="0.1"/>
    <n v="1395000"/>
  </r>
  <r>
    <s v="TRX-10151"/>
    <d v="2025-08-23T00:00:00"/>
    <s v="August"/>
    <x v="0"/>
    <x v="16"/>
    <s v="Engineering"/>
    <s v="Warri"/>
    <s v="Delta"/>
    <x v="3"/>
    <x v="1"/>
    <s v="Fabrication"/>
    <n v="10"/>
    <n v="394000"/>
    <n v="0.05"/>
    <n v="3743000"/>
  </r>
  <r>
    <s v="TRX-10090"/>
    <d v="2025-08-14T00:00:00"/>
    <s v="August"/>
    <x v="0"/>
    <x v="18"/>
    <s v="Inspection"/>
    <s v="Port Harcourt"/>
    <s v="Rivers"/>
    <x v="3"/>
    <x v="1"/>
    <s v="Fabrication"/>
    <n v="6"/>
    <n v="353000"/>
    <n v="0"/>
    <n v="2118000"/>
  </r>
  <r>
    <s v="TRX-10164"/>
    <d v="2025-09-03T00:00:00"/>
    <s v="September"/>
    <x v="0"/>
    <x v="6"/>
    <s v="Industrial"/>
    <s v="Uyo"/>
    <s v="Akwa Ibom"/>
    <x v="9"/>
    <x v="1"/>
    <s v="Valve"/>
    <n v="9"/>
    <n v="149000"/>
    <n v="0.1"/>
    <n v="1206900"/>
  </r>
  <r>
    <s v="TRX-10005"/>
    <d v="2025-05-25T00:00:00"/>
    <s v="May"/>
    <x v="1"/>
    <x v="5"/>
    <s v="Oil &amp; Gas Services"/>
    <s v="Lagos"/>
    <s v="Lagos"/>
    <x v="0"/>
    <x v="0"/>
    <s v="PPE"/>
    <n v="13"/>
    <n v="17000"/>
    <n v="0.02"/>
    <n v="216580"/>
  </r>
  <r>
    <s v="TRX-10243"/>
    <d v="2025-04-01T00:00:00"/>
    <s v="April"/>
    <x v="1"/>
    <x v="6"/>
    <s v="Industrial"/>
    <s v="Uyo"/>
    <s v="Akwa Ibom"/>
    <x v="1"/>
    <x v="1"/>
    <s v="Instrumentation"/>
    <n v="13"/>
    <n v="96000"/>
    <n v="0.02"/>
    <n v="1223040"/>
  </r>
  <r>
    <s v="TRX-10195"/>
    <d v="2025-10-18T00:00:00"/>
    <s v="October"/>
    <x v="2"/>
    <x v="18"/>
    <s v="Inspection"/>
    <s v="Port Harcourt"/>
    <s v="Rivers"/>
    <x v="12"/>
    <x v="2"/>
    <s v="Maintenance"/>
    <n v="11"/>
    <n v="175000"/>
    <n v="0.1"/>
    <n v="1732500"/>
  </r>
  <r>
    <s v="TRX-10227"/>
    <d v="2025-01-25T00:00:00"/>
    <s v="January"/>
    <x v="3"/>
    <x v="16"/>
    <s v="Engineering"/>
    <s v="Warri"/>
    <s v="Delta"/>
    <x v="15"/>
    <x v="2"/>
    <s v="Calibration"/>
    <n v="6"/>
    <n v="109000"/>
    <n v="0"/>
    <n v="654000"/>
  </r>
  <r>
    <s v="TRX-10138"/>
    <d v="2025-08-11T00:00:00"/>
    <s v="August"/>
    <x v="0"/>
    <x v="5"/>
    <s v="Oil &amp; Gas Services"/>
    <s v="Lagos"/>
    <s v="Lagos"/>
    <x v="14"/>
    <x v="0"/>
    <s v="PPE"/>
    <n v="9"/>
    <n v="45000"/>
    <n v="0.05"/>
    <n v="0"/>
  </r>
  <r>
    <s v="TRX-10117"/>
    <d v="2025-04-05T00:00:00"/>
    <s v="April"/>
    <x v="1"/>
    <x v="18"/>
    <s v="Inspection"/>
    <s v="Port Harcourt"/>
    <s v="Rivers"/>
    <x v="17"/>
    <x v="4"/>
    <s v="Electrical"/>
    <n v="11"/>
    <n v="104000"/>
    <n v="0.05"/>
    <n v="1086800"/>
  </r>
  <r>
    <s v="TRX-10235"/>
    <d v="2025-03-29T00:00:00"/>
    <s v="March"/>
    <x v="3"/>
    <x v="6"/>
    <s v="Industrial"/>
    <s v="Uyo"/>
    <s v="Akwa Ibom"/>
    <x v="9"/>
    <x v="1"/>
    <s v="Valve"/>
    <n v="8"/>
    <n v="135000"/>
    <n v="0"/>
    <n v="1080000"/>
  </r>
  <r>
    <s v="TRX-10176"/>
    <d v="2025-10-14T00:00:00"/>
    <s v="October"/>
    <x v="2"/>
    <x v="16"/>
    <s v="Engineering"/>
    <s v="Warri"/>
    <s v="Delta"/>
    <x v="6"/>
    <x v="1"/>
    <s v="Instrumentation"/>
    <n v="13"/>
    <n v="287000"/>
    <n v="0.02"/>
    <n v="0"/>
  </r>
  <r>
    <s v="TRX-10205"/>
    <d v="2025-10-28T00:00:00"/>
    <s v="October"/>
    <x v="2"/>
    <x v="5"/>
    <s v="Oil &amp; Gas Services"/>
    <s v="Lagos"/>
    <s v="Lagos"/>
    <x v="9"/>
    <x v="1"/>
    <s v="Valve"/>
    <n v="5"/>
    <n v="151000"/>
    <n v="0.05"/>
    <n v="717250"/>
  </r>
  <r>
    <s v="TRX-10024"/>
    <d v="2025-10-06T00:00:00"/>
    <s v="October"/>
    <x v="2"/>
    <x v="15"/>
    <s v="Engineering"/>
    <s v="Port Harcourt"/>
    <s v="Rivers"/>
    <x v="11"/>
    <x v="3"/>
    <s v="Consumables"/>
    <n v="7"/>
    <n v="27000"/>
    <n v="0.02"/>
    <n v="185220"/>
  </r>
  <r>
    <s v="TRX-10160"/>
    <d v="2025-07-02T00:00:00"/>
    <s v="July"/>
    <x v="0"/>
    <x v="10"/>
    <s v="Marine"/>
    <s v="Warri"/>
    <s v="Delta"/>
    <x v="0"/>
    <x v="0"/>
    <s v="PPE"/>
    <n v="10"/>
    <n v="19000"/>
    <n v="0"/>
    <n v="190000"/>
  </r>
  <r>
    <s v="TRX-10145"/>
    <d v="2025-04-30T00:00:00"/>
    <s v="April"/>
    <x v="1"/>
    <x v="17"/>
    <s v="Facilities"/>
    <s v="Lagos"/>
    <s v="Lagos"/>
    <x v="9"/>
    <x v="1"/>
    <s v="Valve"/>
    <n v="4"/>
    <n v="139000"/>
    <n v="0"/>
    <n v="0"/>
  </r>
  <r>
    <s v="TRX-10246"/>
    <d v="2025-07-06T00:00:00"/>
    <s v="July"/>
    <x v="0"/>
    <x v="10"/>
    <s v="Marine"/>
    <s v="Warri"/>
    <s v="Delta"/>
    <x v="9"/>
    <x v="1"/>
    <s v="Valve"/>
    <n v="8"/>
    <n v="164000"/>
    <n v="0.1"/>
    <n v="1180800"/>
  </r>
  <r>
    <s v="TRX-10115"/>
    <d v="2025-01-16T00:00:00"/>
    <s v="January"/>
    <x v="3"/>
    <x v="7"/>
    <s v="Logistics"/>
    <s v="Warri"/>
    <s v="Delta"/>
    <x v="14"/>
    <x v="0"/>
    <s v="PPE"/>
    <n v="11"/>
    <n v="44000"/>
    <n v="0.1"/>
    <n v="0"/>
  </r>
  <r>
    <s v="TRX-10011"/>
    <d v="2025-05-21T00:00:00"/>
    <s v="May"/>
    <x v="1"/>
    <x v="10"/>
    <s v="Marine"/>
    <s v="Warri"/>
    <s v="Delta"/>
    <x v="14"/>
    <x v="0"/>
    <s v="PPE"/>
    <n v="11"/>
    <n v="37000"/>
    <n v="0.02"/>
    <n v="398860"/>
  </r>
  <r>
    <s v="TRX-10232"/>
    <d v="2025-06-25T00:00:00"/>
    <s v="June"/>
    <x v="1"/>
    <x v="11"/>
    <s v="Industrial"/>
    <s v="Yenagoa"/>
    <s v="Bayelsa"/>
    <x v="16"/>
    <x v="2"/>
    <s v="Maintenance"/>
    <n v="12"/>
    <n v="152000"/>
    <n v="0.05"/>
    <n v="1732800"/>
  </r>
  <r>
    <s v="TRX-10027"/>
    <d v="2025-09-23T00:00:00"/>
    <s v="September"/>
    <x v="0"/>
    <x v="19"/>
    <s v="Marine"/>
    <s v="Bonny"/>
    <s v="Rivers"/>
    <x v="3"/>
    <x v="1"/>
    <s v="Fabrication"/>
    <n v="0"/>
    <n v="327000"/>
    <n v="0.05"/>
    <n v="3417150"/>
  </r>
  <r>
    <s v="TRX-10012"/>
    <d v="2025-06-13T00:00:00"/>
    <s v="June"/>
    <x v="1"/>
    <x v="8"/>
    <s v="Environmental"/>
    <s v="Port Harcourt"/>
    <s v="Rivers"/>
    <x v="3"/>
    <x v="1"/>
    <s v="Fabrication"/>
    <n v="2"/>
    <n v="400000"/>
    <n v="0"/>
    <n v="0"/>
  </r>
  <r>
    <s v="TRX-10148"/>
    <d v="2025-06-10T00:00:00"/>
    <s v="June"/>
    <x v="1"/>
    <x v="16"/>
    <s v="Engineering"/>
    <s v="Warri"/>
    <s v="Delta"/>
    <x v="8"/>
    <x v="2"/>
    <s v="Inspection"/>
    <n v="9"/>
    <n v="122000"/>
    <n v="0.02"/>
    <n v="1076040"/>
  </r>
  <r>
    <s v="TRX-10063"/>
    <d v="2025-08-17T00:00:00"/>
    <s v="August"/>
    <x v="0"/>
    <x v="6"/>
    <s v="Industrial"/>
    <s v="Uyo"/>
    <s v="Akwa Ibom"/>
    <x v="0"/>
    <x v="0"/>
    <s v="PPE"/>
    <n v="9"/>
    <n v="20000"/>
    <n v="0.05"/>
    <n v="171000"/>
  </r>
  <r>
    <s v="TRX-10082"/>
    <d v="2025-04-27T00:00:00"/>
    <s v="April"/>
    <x v="1"/>
    <x v="7"/>
    <s v="Logistics"/>
    <s v="Warri"/>
    <s v="Delta"/>
    <x v="4"/>
    <x v="1"/>
    <s v="Pump"/>
    <n v="13"/>
    <n v="713000"/>
    <n v="0"/>
    <n v="9269000"/>
  </r>
  <r>
    <s v="TRX-10118"/>
    <d v="2025-07-31T00:00:00"/>
    <s v="July"/>
    <x v="0"/>
    <x v="2"/>
    <s v="Procurement"/>
    <s v="Lagos"/>
    <s v="Lagos"/>
    <x v="2"/>
    <x v="1"/>
    <s v="Valve"/>
    <n v="11"/>
    <n v="223000"/>
    <n v="0"/>
    <n v="2453000"/>
  </r>
  <r>
    <s v="TRX-10055"/>
    <d v="2025-11-27T00:00:00"/>
    <s v="November"/>
    <x v="2"/>
    <x v="9"/>
    <s v="Energy"/>
    <s v="Abuja"/>
    <s v="FCT"/>
    <x v="5"/>
    <x v="1"/>
    <s v="Electrical"/>
    <n v="11"/>
    <n v="542000"/>
    <n v="0.1"/>
    <n v="5365800"/>
  </r>
  <r>
    <s v="TRX-10208"/>
    <d v="2025-09-08T00:00:00"/>
    <s v="September"/>
    <x v="0"/>
    <x v="15"/>
    <s v="Engineering"/>
    <s v="Port Harcourt"/>
    <s v="Rivers"/>
    <x v="14"/>
    <x v="0"/>
    <s v="PPE"/>
    <n v="3"/>
    <n v="44000"/>
    <n v="0"/>
    <n v="132000"/>
  </r>
  <r>
    <s v="TRX-10092"/>
    <d v="2025-09-09T00:00:00"/>
    <s v="September"/>
    <x v="0"/>
    <x v="15"/>
    <s v="Engineering"/>
    <s v="Port Harcourt"/>
    <s v="Rivers"/>
    <x v="9"/>
    <x v="1"/>
    <s v="Valve"/>
    <n v="13"/>
    <n v="156000"/>
    <n v="0.02"/>
    <n v="1987440"/>
  </r>
  <r>
    <s v="TRX-10165"/>
    <d v="2025-11-13T00:00:00"/>
    <s v="November"/>
    <x v="2"/>
    <x v="0"/>
    <s v="Oil &amp; Gas Services"/>
    <s v="Port Harcourt"/>
    <s v="Rivers"/>
    <x v="8"/>
    <x v="2"/>
    <s v="Inspection"/>
    <n v="5"/>
    <n v="109000"/>
    <n v="0.05"/>
    <n v="517750"/>
  </r>
  <r>
    <s v="TRX-10036"/>
    <d v="2025-02-01T00:00:00"/>
    <s v="February"/>
    <x v="3"/>
    <x v="0"/>
    <s v="Oil &amp; Gas Services"/>
    <s v="Port Harcourt"/>
    <s v="Rivers"/>
    <x v="16"/>
    <x v="2"/>
    <s v="Maintenance"/>
    <n v="9"/>
    <n v="165000"/>
    <n v="0.1"/>
    <n v="1336500"/>
  </r>
  <r>
    <s v="TRX-10119"/>
    <d v="2025-12-24T00:00:00"/>
    <s v="December"/>
    <x v="2"/>
    <x v="20"/>
    <s v="HSE"/>
    <s v="Port Harcourt"/>
    <s v="Rivers"/>
    <x v="11"/>
    <x v="3"/>
    <s v="Consumables"/>
    <n v="11"/>
    <n v="31000"/>
    <n v="0.05"/>
    <n v="0"/>
  </r>
  <r>
    <s v="TRX-10157"/>
    <d v="2025-04-24T00:00:00"/>
    <s v="April"/>
    <x v="1"/>
    <x v="6"/>
    <s v="Industrial"/>
    <s v="Uyo"/>
    <s v="Akwa Ibom"/>
    <x v="12"/>
    <x v="2"/>
    <s v="Maintenance"/>
    <n v="4"/>
    <n v="191000"/>
    <n v="0.02"/>
    <n v="748720"/>
  </r>
  <r>
    <s v="TRX-10162"/>
    <d v="2025-02-28T00:00:00"/>
    <s v="February"/>
    <x v="3"/>
    <x v="3"/>
    <s v="Energy"/>
    <s v="Port Harcourt"/>
    <s v="Rivers"/>
    <x v="7"/>
    <x v="0"/>
    <s v="Safety"/>
    <n v="1"/>
    <n v="205000"/>
    <n v="0.02"/>
    <n v="200900"/>
  </r>
  <r>
    <s v="TRX-10211"/>
    <d v="2025-08-01T00:00:00"/>
    <s v="August"/>
    <x v="0"/>
    <x v="16"/>
    <s v="Engineering"/>
    <s v="Warri"/>
    <s v="Delta"/>
    <x v="14"/>
    <x v="0"/>
    <s v="PPE"/>
    <n v="8"/>
    <n v="43000"/>
    <n v="0.1"/>
    <n v="309600"/>
  </r>
  <r>
    <s v="TRX-10259"/>
    <d v="2025-01-28T00:00:00"/>
    <s v="January"/>
    <x v="3"/>
    <x v="13"/>
    <s v="Energy"/>
    <s v="Abuja"/>
    <s v="FCT"/>
    <x v="5"/>
    <x v="1"/>
    <s v="Electrical"/>
    <n v="14"/>
    <n v="538000"/>
    <n v="0.1"/>
    <n v="6778800"/>
  </r>
  <r>
    <s v="TRX-10207"/>
    <d v="2025-09-20T00:00:00"/>
    <s v="September"/>
    <x v="0"/>
    <x v="16"/>
    <s v="Engineering"/>
    <s v="Warri"/>
    <s v="Delta"/>
    <x v="10"/>
    <x v="1"/>
    <s v="Pump"/>
    <n v="6"/>
    <n v="381000"/>
    <n v="0.02"/>
    <n v="2240280"/>
  </r>
  <r>
    <s v="TRX-10051"/>
    <d v="2025-03-27T00:00:00"/>
    <s v="March"/>
    <x v="3"/>
    <x v="11"/>
    <s v="Industrial"/>
    <s v="Yenagoa"/>
    <s v="Bayelsa"/>
    <x v="17"/>
    <x v="4"/>
    <s v="Electrical"/>
    <n v="1"/>
    <n v="108000"/>
    <n v="0"/>
    <n v="108000"/>
  </r>
  <r>
    <s v="TRX-10219"/>
    <d v="2025-05-29T00:00:00"/>
    <s v="May"/>
    <x v="1"/>
    <x v="20"/>
    <s v="HSE"/>
    <s v="Port Harcourt"/>
    <s v="Rivers"/>
    <x v="7"/>
    <x v="0"/>
    <s v="Safety"/>
    <n v="13"/>
    <n v="206000"/>
    <n v="0.05"/>
    <n v="2544100"/>
  </r>
  <r>
    <s v="TRX-10234"/>
    <d v="2025-02-24T00:00:00"/>
    <s v="February"/>
    <x v="3"/>
    <x v="7"/>
    <s v="Logistics"/>
    <s v="Warri"/>
    <s v="Delta"/>
    <x v="2"/>
    <x v="1"/>
    <s v="Valve"/>
    <n v="11"/>
    <n v="243000"/>
    <n v="0.02"/>
    <n v="2619540"/>
  </r>
  <r>
    <s v="TRX-10196"/>
    <d v="2025-03-21T00:00:00"/>
    <s v="March"/>
    <x v="3"/>
    <x v="6"/>
    <s v="Industrial"/>
    <s v="Uyo"/>
    <s v="Akwa Ibom"/>
    <x v="1"/>
    <x v="1"/>
    <s v="Instrumentation"/>
    <n v="8"/>
    <n v="83000"/>
    <n v="0.05"/>
    <n v="630800"/>
  </r>
  <r>
    <s v="TRX-10197"/>
    <d v="2025-11-01T00:00:00"/>
    <s v="November"/>
    <x v="2"/>
    <x v="0"/>
    <s v="Oil &amp; Gas Services"/>
    <s v="Port Harcourt"/>
    <s v="Rivers"/>
    <x v="9"/>
    <x v="1"/>
    <s v="Valve"/>
    <n v="9"/>
    <n v="156000"/>
    <n v="0"/>
    <n v="1404000"/>
  </r>
  <r>
    <s v="TRX-10144"/>
    <d v="2025-01-07T00:00:00"/>
    <s v="January"/>
    <x v="3"/>
    <x v="18"/>
    <s v="Inspection"/>
    <s v="Port Harcourt"/>
    <s v="Rivers"/>
    <x v="4"/>
    <x v="1"/>
    <s v="Pump"/>
    <n v="15"/>
    <n v="654000"/>
    <n v="0.1"/>
    <n v="8829000"/>
  </r>
  <r>
    <s v="TRX-10238"/>
    <d v="2025-07-07T00:00:00"/>
    <s v="July"/>
    <x v="0"/>
    <x v="8"/>
    <s v="Environmental"/>
    <s v="Port Harcourt"/>
    <s v="Rivers"/>
    <x v="4"/>
    <x v="1"/>
    <s v="Pump"/>
    <n v="10"/>
    <n v="603000"/>
    <n v="0"/>
    <n v="6030000"/>
  </r>
  <r>
    <s v="TRX-10212"/>
    <d v="2025-10-03T00:00:00"/>
    <s v="October"/>
    <x v="2"/>
    <x v="1"/>
    <s v="Marine"/>
    <s v="Bonny"/>
    <s v="Rivers"/>
    <x v="11"/>
    <x v="3"/>
    <s v="Consumables"/>
    <n v="13"/>
    <n v="30000"/>
    <n v="0.05"/>
    <n v="370500"/>
  </r>
  <r>
    <s v="TRX-10245"/>
    <d v="2025-09-20T00:00:00"/>
    <s v="September"/>
    <x v="0"/>
    <x v="1"/>
    <s v="Marine"/>
    <s v="Bonny"/>
    <s v="Rivers"/>
    <x v="6"/>
    <x v="1"/>
    <s v="Instrumentation"/>
    <n v="4"/>
    <n v="274000"/>
    <n v="0"/>
    <n v="1096000"/>
  </r>
  <r>
    <s v="TRX-10253"/>
    <d v="2025-01-17T00:00:00"/>
    <s v="January"/>
    <x v="3"/>
    <x v="7"/>
    <s v="Logistics"/>
    <s v="Warri"/>
    <s v="Delta"/>
    <x v="4"/>
    <x v="1"/>
    <s v="Pump"/>
    <n v="11"/>
    <n v="755000"/>
    <n v="0.1"/>
    <n v="7474500"/>
  </r>
  <r>
    <s v="TRX-10180"/>
    <d v="2025-10-01T00:00:00"/>
    <s v="October"/>
    <x v="2"/>
    <x v="15"/>
    <s v="Engineering"/>
    <s v="Port Harcourt"/>
    <s v="Rivers"/>
    <x v="5"/>
    <x v="1"/>
    <s v="Electrical"/>
    <n v="7"/>
    <n v="477000"/>
    <n v="0.05"/>
    <n v="3172050"/>
  </r>
  <r>
    <s v="TRX-10079"/>
    <d v="2025-11-28T00:00:00"/>
    <s v="November"/>
    <x v="2"/>
    <x v="4"/>
    <s v="Oil &amp; Gas Services"/>
    <s v="Lagos"/>
    <s v="Lagos"/>
    <x v="7"/>
    <x v="0"/>
    <s v="Safety"/>
    <n v="14"/>
    <n v="190000"/>
    <n v="0.05"/>
    <n v="2527000"/>
  </r>
  <r>
    <s v="TRX-10042"/>
    <d v="2025-07-11T00:00:00"/>
    <s v="July"/>
    <x v="0"/>
    <x v="13"/>
    <s v="Energy"/>
    <s v="Abuja"/>
    <s v="FCT"/>
    <x v="13"/>
    <x v="0"/>
    <s v="PPE"/>
    <n v="8"/>
    <n v="76000"/>
    <n v="0.1"/>
    <n v="547200"/>
  </r>
  <r>
    <s v="TRX-10131"/>
    <d v="2025-12-30T00:00:00"/>
    <s v="December"/>
    <x v="2"/>
    <x v="8"/>
    <s v="Environmental"/>
    <s v="Port Harcourt"/>
    <s v="Rivers"/>
    <x v="5"/>
    <x v="1"/>
    <s v="Electrical"/>
    <n v="11"/>
    <n v="516000"/>
    <n v="0"/>
    <n v="5676000"/>
  </r>
  <r>
    <s v="TRX-10199"/>
    <d v="2025-08-27T00:00:00"/>
    <s v="August"/>
    <x v="0"/>
    <x v="18"/>
    <s v="Inspection"/>
    <s v="Port Harcourt"/>
    <s v="Rivers"/>
    <x v="15"/>
    <x v="2"/>
    <s v="Calibration"/>
    <n v="13"/>
    <n v="106000"/>
    <n v="0"/>
    <n v="1378000"/>
  </r>
  <r>
    <s v="TRX-10129"/>
    <d v="2025-06-22T00:00:00"/>
    <s v="June"/>
    <x v="1"/>
    <x v="10"/>
    <s v="Marine"/>
    <s v="Warri"/>
    <s v="Delta"/>
    <x v="15"/>
    <x v="2"/>
    <s v="Calibration"/>
    <n v="7"/>
    <n v="84000"/>
    <n v="0.05"/>
    <n v="558600"/>
  </r>
  <r>
    <s v="TRX-10239"/>
    <d v="2025-07-12T00:00:00"/>
    <s v="July"/>
    <x v="0"/>
    <x v="6"/>
    <s v="Industrial"/>
    <s v="Uyo"/>
    <s v="Akwa Ibom"/>
    <x v="1"/>
    <x v="1"/>
    <s v="Instrumentation"/>
    <n v="10"/>
    <n v="90000"/>
    <n v="0"/>
    <n v="0"/>
  </r>
  <r>
    <s v="TRX-10014"/>
    <d v="2025-05-09T00:00:00"/>
    <s v="May"/>
    <x v="1"/>
    <x v="10"/>
    <s v="Marine"/>
    <s v="Warri"/>
    <s v="Delta"/>
    <x v="15"/>
    <x v="2"/>
    <s v="Calibration"/>
    <n v="5"/>
    <n v="89000"/>
    <n v="0.1"/>
    <n v="400500"/>
  </r>
  <r>
    <s v="TRX-10008"/>
    <d v="2025-01-26T00:00:00"/>
    <s v="January"/>
    <x v="3"/>
    <x v="1"/>
    <s v="Marine"/>
    <s v="Bonny"/>
    <s v="Rivers"/>
    <x v="11"/>
    <x v="3"/>
    <s v="Consumables"/>
    <n v="2"/>
    <n v="31000"/>
    <n v="0"/>
    <n v="62000"/>
  </r>
  <r>
    <s v="TRX-10107"/>
    <d v="2025-11-11T00:00:00"/>
    <s v="November"/>
    <x v="2"/>
    <x v="12"/>
    <s v="Engineering"/>
    <s v="Port Harcourt"/>
    <s v="Rivers"/>
    <x v="0"/>
    <x v="0"/>
    <s v="PPE"/>
    <n v="11"/>
    <n v="18000"/>
    <n v="0"/>
    <n v="198000"/>
  </r>
  <r>
    <s v="TRX-10229"/>
    <d v="2025-01-25T00:00:00"/>
    <s v="January"/>
    <x v="3"/>
    <x v="15"/>
    <s v="Engineering"/>
    <s v="Port Harcourt"/>
    <s v="Rivers"/>
    <x v="4"/>
    <x v="1"/>
    <s v="Pump"/>
    <n v="6"/>
    <n v="762000"/>
    <n v="0.02"/>
    <n v="0"/>
  </r>
  <r>
    <s v="TRX-10223"/>
    <d v="2025-06-01T00:00:00"/>
    <s v="June"/>
    <x v="1"/>
    <x v="4"/>
    <s v="Oil &amp; Gas Services"/>
    <s v="Lagos"/>
    <s v="Lagos"/>
    <x v="10"/>
    <x v="1"/>
    <s v="Pump"/>
    <n v="10"/>
    <n v="380000"/>
    <n v="0.02"/>
    <n v="3724000"/>
  </r>
  <r>
    <s v="TRX-10188"/>
    <d v="2025-07-25T00:00:00"/>
    <s v="July"/>
    <x v="0"/>
    <x v="0"/>
    <s v="Oil &amp; Gas Services"/>
    <s v="Port Harcourt"/>
    <s v="Rivers"/>
    <x v="17"/>
    <x v="4"/>
    <s v="Electrical"/>
    <n v="1"/>
    <n v="98000"/>
    <n v="0.05"/>
    <n v="93100"/>
  </r>
  <r>
    <s v="TRX-10009"/>
    <d v="2025-08-23T00:00:00"/>
    <s v="August"/>
    <x v="0"/>
    <x v="16"/>
    <s v="Engineering"/>
    <s v="Warri"/>
    <s v="Delta"/>
    <x v="13"/>
    <x v="0"/>
    <s v="PPE"/>
    <n v="6"/>
    <n v="78000"/>
    <n v="0.02"/>
    <n v="458640"/>
  </r>
  <r>
    <s v="TRX-10078"/>
    <d v="2025-08-30T00:00:00"/>
    <s v="August"/>
    <x v="0"/>
    <x v="5"/>
    <s v="Oil &amp; Gas Services"/>
    <s v="Lagos"/>
    <s v="Lagos"/>
    <x v="15"/>
    <x v="2"/>
    <s v="Calibration"/>
    <n v="1"/>
    <n v="85000"/>
    <n v="0.05"/>
    <n v="0"/>
  </r>
  <r>
    <s v="TRX-10230"/>
    <d v="2025-05-12T00:00:00"/>
    <s v="May"/>
    <x v="1"/>
    <x v="19"/>
    <s v="Oil &amp; Gas Services"/>
    <s v="Port Harcourt"/>
    <s v="Rivers"/>
    <x v="0"/>
    <x v="0"/>
    <s v="PPE"/>
    <n v="5"/>
    <n v="19000"/>
    <n v="0.02"/>
    <n v="93100"/>
  </r>
  <r>
    <s v="TRX-10149"/>
    <d v="2025-06-03T00:00:00"/>
    <s v="June"/>
    <x v="1"/>
    <x v="2"/>
    <s v="Procurement"/>
    <s v="Lagos"/>
    <s v="Lagos"/>
    <x v="6"/>
    <x v="1"/>
    <s v="Instrumentation"/>
    <n v="8"/>
    <n v="277000"/>
    <n v="0"/>
    <n v="2216000"/>
  </r>
  <r>
    <s v="TRX-10193"/>
    <d v="2025-06-30T00:00:00"/>
    <s v="June"/>
    <x v="1"/>
    <x v="16"/>
    <s v="Engineering"/>
    <s v="Warri"/>
    <s v="Delta"/>
    <x v="7"/>
    <x v="0"/>
    <s v="Safety"/>
    <n v="4"/>
    <n v="219000"/>
    <n v="0"/>
    <n v="876000"/>
  </r>
  <r>
    <s v="TRX-10120"/>
    <d v="2025-02-17T00:00:00"/>
    <s v="February"/>
    <x v="3"/>
    <x v="2"/>
    <s v="Procurement"/>
    <s v="Lagos"/>
    <s v="Lagos"/>
    <x v="3"/>
    <x v="1"/>
    <s v="Fabrication"/>
    <n v="6"/>
    <n v="359000"/>
    <n v="0"/>
    <n v="2154000"/>
  </r>
  <r>
    <s v="TRX-10257"/>
    <d v="2025-06-15T00:00:00"/>
    <s v="June"/>
    <x v="1"/>
    <x v="16"/>
    <s v="Engineering"/>
    <s v="Warri"/>
    <s v="Delta"/>
    <x v="5"/>
    <x v="1"/>
    <s v="Electrical"/>
    <n v="3"/>
    <n v="589000"/>
    <n v="0.02"/>
    <n v="0"/>
  </r>
  <r>
    <s v="TRX-10109"/>
    <d v="2025-12-21T00:00:00"/>
    <s v="December"/>
    <x v="2"/>
    <x v="17"/>
    <s v="Facilities"/>
    <s v="Lagos"/>
    <s v="Lagos"/>
    <x v="16"/>
    <x v="2"/>
    <s v="Maintenance"/>
    <n v="5"/>
    <n v="141000"/>
    <n v="0"/>
    <n v="705000"/>
  </r>
  <r>
    <s v="TRX-10142"/>
    <d v="2025-08-24T00:00:00"/>
    <s v="August"/>
    <x v="0"/>
    <x v="13"/>
    <s v="Energy"/>
    <s v="Abuja"/>
    <s v="FCT"/>
    <x v="0"/>
    <x v="0"/>
    <s v="PPE"/>
    <n v="7"/>
    <n v="17000"/>
    <n v="0.05"/>
    <n v="113050"/>
  </r>
  <r>
    <s v="TRX-10089"/>
    <d v="2025-08-13T00:00:00"/>
    <s v="August"/>
    <x v="0"/>
    <x v="11"/>
    <s v="Industrial"/>
    <s v="Yenagoa"/>
    <s v="Bayelsa"/>
    <x v="8"/>
    <x v="2"/>
    <s v="Inspection"/>
    <n v="11"/>
    <n v="134000"/>
    <n v="0.02"/>
    <n v="0"/>
  </r>
  <r>
    <s v="TRX-10153"/>
    <d v="2025-11-30T00:00:00"/>
    <s v="November"/>
    <x v="2"/>
    <x v="7"/>
    <s v="Logistics"/>
    <s v="Warri"/>
    <s v="Delta"/>
    <x v="12"/>
    <x v="2"/>
    <s v="Maintenance"/>
    <n v="15"/>
    <n v="165000"/>
    <n v="0"/>
    <n v="2425500"/>
  </r>
  <r>
    <s v="TRX-10198"/>
    <d v="2025-01-22T00:00:00"/>
    <s v="January"/>
    <x v="3"/>
    <x v="0"/>
    <s v="Oil &amp; Gas Services"/>
    <s v="Port Harcourt"/>
    <s v="Rivers"/>
    <x v="9"/>
    <x v="1"/>
    <s v="Valve"/>
    <n v="14"/>
    <n v="163000"/>
    <n v="0.02"/>
    <n v="2236360"/>
  </r>
  <r>
    <s v="TRX-10045"/>
    <d v="2025-04-17T00:00:00"/>
    <s v="April"/>
    <x v="1"/>
    <x v="14"/>
    <s v="Oil &amp; Gas Services"/>
    <s v="Owerri"/>
    <s v="Imo"/>
    <x v="8"/>
    <x v="2"/>
    <s v="Inspection"/>
    <n v="8"/>
    <n v="114000"/>
    <n v="0.02"/>
    <n v="893760"/>
  </r>
  <r>
    <s v="TRX-10170"/>
    <d v="2025-08-02T00:00:00"/>
    <s v="August"/>
    <x v="0"/>
    <x v="2"/>
    <s v="Procurement"/>
    <s v="Lagos"/>
    <s v="Lagos"/>
    <x v="12"/>
    <x v="2"/>
    <s v="Maintenance"/>
    <n v="7"/>
    <n v="187000"/>
    <n v="0.05"/>
    <n v="1243550"/>
  </r>
  <r>
    <s v="TRX-10066"/>
    <d v="2025-08-03T00:00:00"/>
    <s v="August"/>
    <x v="0"/>
    <x v="18"/>
    <s v="Inspection"/>
    <s v="Port Harcourt"/>
    <s v="Rivers"/>
    <x v="0"/>
    <x v="0"/>
    <s v="PPE"/>
    <n v="12"/>
    <n v="18000"/>
    <n v="0.05"/>
    <n v="205200"/>
  </r>
  <r>
    <s v="TRX-10061"/>
    <d v="2025-04-11T00:00:00"/>
    <s v="April"/>
    <x v="1"/>
    <x v="4"/>
    <s v="Oil &amp; Gas Services"/>
    <s v="Lagos"/>
    <s v="Lagos"/>
    <x v="5"/>
    <x v="1"/>
    <s v="Electrical"/>
    <n v="11"/>
    <n v="512000"/>
    <n v="0"/>
    <n v="0"/>
  </r>
  <r>
    <s v="TRX-10094"/>
    <d v="2025-10-14T00:00:00"/>
    <s v="October"/>
    <x v="2"/>
    <x v="1"/>
    <s v="Marine"/>
    <s v="Bonny"/>
    <s v="Rivers"/>
    <x v="16"/>
    <x v="2"/>
    <s v="Maintenance"/>
    <n v="11"/>
    <n v="155000"/>
    <n v="0.05"/>
    <n v="1619750"/>
  </r>
  <r>
    <s v="TRX-10252"/>
    <d v="2025-09-17T00:00:00"/>
    <s v="September"/>
    <x v="0"/>
    <x v="11"/>
    <s v="Industrial"/>
    <s v="Yenagoa"/>
    <s v="Bayelsa"/>
    <x v="7"/>
    <x v="0"/>
    <s v="Safety"/>
    <n v="3"/>
    <n v="192000"/>
    <n v="0.1"/>
    <n v="518400"/>
  </r>
  <r>
    <s v="TRX-10260"/>
    <d v="2025-06-19T00:00:00"/>
    <s v="June"/>
    <x v="1"/>
    <x v="18"/>
    <s v="Inspection"/>
    <s v="Port Harcourt"/>
    <s v="Rivers"/>
    <x v="2"/>
    <x v="1"/>
    <s v="Valve"/>
    <n v="4"/>
    <n v="217000"/>
    <n v="0"/>
    <n v="868000"/>
  </r>
  <r>
    <s v="TRX-10210"/>
    <d v="2025-03-22T00:00:00"/>
    <s v="March"/>
    <x v="3"/>
    <x v="11"/>
    <s v="Industrial"/>
    <s v="Yenagoa"/>
    <s v="Bayelsa"/>
    <x v="13"/>
    <x v="0"/>
    <s v="PPE"/>
    <n v="14"/>
    <n v="69000"/>
    <n v="0.1"/>
    <n v="869400"/>
  </r>
  <r>
    <s v="TRX-10001"/>
    <d v="2025-11-26T00:00:00"/>
    <s v="November"/>
    <x v="2"/>
    <x v="12"/>
    <s v="Engineering"/>
    <s v="Port Harcourt"/>
    <s v="Rivers"/>
    <x v="10"/>
    <x v="1"/>
    <s v="Pump"/>
    <n v="12"/>
    <n v="412000"/>
    <n v="0.02"/>
    <n v="4845120"/>
  </r>
  <r>
    <s v="TRX-10046"/>
    <d v="2025-05-24T00:00:00"/>
    <s v="May"/>
    <x v="1"/>
    <x v="0"/>
    <s v="Oil &amp; Gas Services"/>
    <s v="Port Harcourt"/>
    <s v="Rivers"/>
    <x v="10"/>
    <x v="1"/>
    <s v="Pump"/>
    <n v="6"/>
    <n v="445000"/>
    <n v="0"/>
    <n v="2670000"/>
  </r>
  <r>
    <s v="TRX-10154"/>
    <d v="2025-03-15T00:00:00"/>
    <s v="March"/>
    <x v="3"/>
    <x v="0"/>
    <s v="Oil &amp; Gas Services"/>
    <s v="Port Harcourt"/>
    <s v="Rivers"/>
    <x v="4"/>
    <x v="1"/>
    <s v="Pump"/>
    <n v="5"/>
    <n v="688000"/>
    <n v="0.05"/>
    <n v="3268000"/>
  </r>
  <r>
    <s v="TRX-10041"/>
    <d v="2025-10-05T00:00:00"/>
    <s v="October"/>
    <x v="2"/>
    <x v="15"/>
    <s v="Engineering"/>
    <s v="Port Harcourt"/>
    <s v="Rivers"/>
    <x v="8"/>
    <x v="2"/>
    <s v="Inspection"/>
    <n v="5"/>
    <n v="110000"/>
    <n v="0"/>
    <n v="550000"/>
  </r>
  <r>
    <s v="TRX-10060"/>
    <d v="2025-09-19T00:00:00"/>
    <s v="September"/>
    <x v="0"/>
    <x v="13"/>
    <s v="Energy"/>
    <s v="Abuja"/>
    <s v="FCT"/>
    <x v="17"/>
    <x v="4"/>
    <s v="Electrical"/>
    <n v="6"/>
    <n v="92000"/>
    <n v="0.05"/>
    <n v="524400"/>
  </r>
  <r>
    <s v="TRX-10047"/>
    <d v="2025-08-17T00:00:00"/>
    <s v="August"/>
    <x v="0"/>
    <x v="10"/>
    <s v="Marine"/>
    <s v="Warri"/>
    <s v="Delta"/>
    <x v="17"/>
    <x v="4"/>
    <s v="Electrical"/>
    <n v="9"/>
    <n v="92000"/>
    <n v="0"/>
    <n v="828000"/>
  </r>
  <r>
    <s v="TRX-10192"/>
    <d v="2025-04-26T00:00:00"/>
    <s v="April"/>
    <x v="1"/>
    <x v="2"/>
    <s v="Procurement"/>
    <s v="Lagos"/>
    <s v="Lagos"/>
    <x v="13"/>
    <x v="0"/>
    <s v="PPE"/>
    <n v="2"/>
    <n v="84000"/>
    <n v="0.1"/>
    <n v="151200"/>
  </r>
  <r>
    <s v="TRX-10220"/>
    <d v="2025-01-12T00:00:00"/>
    <s v="January"/>
    <x v="3"/>
    <x v="14"/>
    <s v="Oil &amp; Gas Services"/>
    <s v="Owerri"/>
    <s v="Imo"/>
    <x v="0"/>
    <x v="0"/>
    <s v="PPE"/>
    <n v="14"/>
    <n v="20000"/>
    <n v="0"/>
    <n v="0"/>
  </r>
  <r>
    <s v="TRX-10105"/>
    <d v="2025-03-04T00:00:00"/>
    <s v="March"/>
    <x v="3"/>
    <x v="10"/>
    <s v="Marine"/>
    <s v="Warri"/>
    <s v="Delta"/>
    <x v="17"/>
    <x v="4"/>
    <s v="Electrical"/>
    <n v="10"/>
    <n v="107000"/>
    <n v="0.1"/>
    <n v="0"/>
  </r>
  <r>
    <s v="TRX-10134"/>
    <d v="2025-06-25T00:00:00"/>
    <s v="June"/>
    <x v="1"/>
    <x v="17"/>
    <s v="Facilities"/>
    <s v="Lagos"/>
    <s v="Lagos"/>
    <x v="5"/>
    <x v="1"/>
    <s v="Electrical"/>
    <n v="11"/>
    <n v="505000"/>
    <n v="0"/>
    <n v="5555000"/>
  </r>
  <r>
    <s v="TRX-10017"/>
    <d v="2025-09-30T00:00:00"/>
    <s v="September"/>
    <x v="0"/>
    <x v="14"/>
    <s v="Oil &amp; Gas Services"/>
    <s v="Owerri"/>
    <s v="Imo"/>
    <x v="15"/>
    <x v="2"/>
    <s v="Calibration"/>
    <n v="14"/>
    <n v="91000"/>
    <n v="0"/>
    <n v="1274000"/>
  </r>
  <r>
    <s v="TRX-10256"/>
    <d v="2025-08-16T00:00:00"/>
    <s v="August"/>
    <x v="0"/>
    <x v="4"/>
    <s v="Oil &amp; Gas Services"/>
    <s v="Lagos"/>
    <s v="Lagos"/>
    <x v="16"/>
    <x v="2"/>
    <s v="Maintenance"/>
    <n v="8"/>
    <n v="155000"/>
    <n v="0"/>
    <n v="1240000"/>
  </r>
  <r>
    <s v="TRX-10171"/>
    <d v="2025-08-09T00:00:00"/>
    <s v="August"/>
    <x v="0"/>
    <x v="2"/>
    <s v="Procurement"/>
    <s v="Lagos"/>
    <s v="Lagos"/>
    <x v="3"/>
    <x v="1"/>
    <s v="Fabrication"/>
    <n v="6"/>
    <n v="372000"/>
    <n v="0"/>
    <n v="2232000"/>
  </r>
  <r>
    <s v="TRX-10250"/>
    <d v="2025-03-28T00:00:00"/>
    <s v="March"/>
    <x v="3"/>
    <x v="11"/>
    <s v="Industrial"/>
    <s v="Yenagoa"/>
    <s v="Bayelsa"/>
    <x v="2"/>
    <x v="1"/>
    <s v="Valve"/>
    <n v="15"/>
    <n v="266000"/>
    <n v="0"/>
    <n v="3990000"/>
  </r>
  <r>
    <s v="TRX-10075"/>
    <d v="2025-10-29T00:00:00"/>
    <s v="October"/>
    <x v="2"/>
    <x v="3"/>
    <s v="Energy"/>
    <s v="Port Harcourt"/>
    <s v="Rivers"/>
    <x v="5"/>
    <x v="1"/>
    <s v="Electrical"/>
    <n v="8"/>
    <n v="557000"/>
    <n v="0"/>
    <n v="4456000"/>
  </r>
  <r>
    <s v="TRX-10111"/>
    <d v="2025-03-02T00:00:00"/>
    <s v="March"/>
    <x v="3"/>
    <x v="10"/>
    <s v="Marine"/>
    <s v="Warri"/>
    <s v="Delta"/>
    <x v="14"/>
    <x v="0"/>
    <s v="PPE"/>
    <n v="11"/>
    <n v="40000"/>
    <n v="0"/>
    <n v="440000"/>
  </r>
  <r>
    <s v="TRX-10146"/>
    <d v="2025-11-20T00:00:00"/>
    <s v="November"/>
    <x v="2"/>
    <x v="12"/>
    <s v="Engineering"/>
    <s v="Port Harcourt"/>
    <s v="Rivers"/>
    <x v="4"/>
    <x v="1"/>
    <s v="Pump"/>
    <n v="5"/>
    <n v="605000"/>
    <n v="0.05"/>
    <n v="2873750"/>
  </r>
  <r>
    <s v="TRX-10039"/>
    <d v="2025-04-17T00:00:00"/>
    <s v="April"/>
    <x v="1"/>
    <x v="2"/>
    <s v="Procurement"/>
    <s v="Lagos"/>
    <s v="Lagos"/>
    <x v="14"/>
    <x v="0"/>
    <s v="PPE"/>
    <n v="5"/>
    <n v="45000"/>
    <n v="0.05"/>
    <n v="213750"/>
  </r>
  <r>
    <s v="TRX-10028"/>
    <d v="2025-05-07T00:00:00"/>
    <s v="May"/>
    <x v="1"/>
    <x v="20"/>
    <s v="HSE"/>
    <s v="Port Harcourt"/>
    <s v="Rivers"/>
    <x v="17"/>
    <x v="4"/>
    <s v="Electrical"/>
    <n v="4"/>
    <n v="97000"/>
    <n v="0"/>
    <n v="388000"/>
  </r>
  <r>
    <s v="TRX-10141"/>
    <d v="2025-02-09T00:00:00"/>
    <s v="February"/>
    <x v="3"/>
    <x v="6"/>
    <s v="Industrial"/>
    <s v="Uyo"/>
    <s v="Akwa Ibom"/>
    <x v="9"/>
    <x v="1"/>
    <s v="Valve"/>
    <n v="10"/>
    <n v="165000"/>
    <n v="0.02"/>
    <n v="1617000"/>
  </r>
  <r>
    <s v="TRX-10122"/>
    <d v="2025-01-29T00:00:00"/>
    <s v="January"/>
    <x v="3"/>
    <x v="15"/>
    <s v="Engineering"/>
    <s v="Port Harcourt"/>
    <s v="Rivers"/>
    <x v="3"/>
    <x v="1"/>
    <s v="Fabrication"/>
    <n v="9"/>
    <n v="393000"/>
    <n v="0"/>
    <n v="3537000"/>
  </r>
  <r>
    <s v="TRX-10088"/>
    <d v="2025-08-06T00:00:00"/>
    <s v="August"/>
    <x v="0"/>
    <x v="20"/>
    <s v="HSE"/>
    <s v="Port Harcourt"/>
    <s v="Rivers"/>
    <x v="6"/>
    <x v="1"/>
    <s v="Instrumentation"/>
    <n v="7"/>
    <n v="326000"/>
    <n v="0.02"/>
    <n v="2236360"/>
  </r>
  <r>
    <s v="TRX-10007"/>
    <d v="2025-07-15T00:00:00"/>
    <s v="July"/>
    <x v="0"/>
    <x v="7"/>
    <s v="Logistics"/>
    <s v="Warri"/>
    <s v="Delta"/>
    <x v="15"/>
    <x v="2"/>
    <s v="Calibration"/>
    <n v="5"/>
    <n v="85000"/>
    <n v="0.1"/>
    <n v="382500"/>
  </r>
  <r>
    <s v="TRX-10185"/>
    <d v="2025-05-11T00:00:00"/>
    <s v="May"/>
    <x v="1"/>
    <x v="0"/>
    <s v="Oil &amp; Gas Services"/>
    <s v="Port Harcourt"/>
    <s v="Rivers"/>
    <x v="10"/>
    <x v="1"/>
    <s v="Pump"/>
    <n v="4"/>
    <n v="399000"/>
    <n v="0"/>
    <n v="1564080"/>
  </r>
  <r>
    <s v="TRX-10189"/>
    <d v="2025-10-23T00:00:00"/>
    <s v="October"/>
    <x v="2"/>
    <x v="8"/>
    <s v="Environmental"/>
    <s v="Port Harcourt"/>
    <s v="Rivers"/>
    <x v="17"/>
    <x v="4"/>
    <s v="Electrical"/>
    <n v="5"/>
    <n v="97000"/>
    <n v="0"/>
    <n v="485000"/>
  </r>
  <r>
    <s v="TRX-10191"/>
    <d v="2025-05-07T00:00:00"/>
    <s v="May"/>
    <x v="1"/>
    <x v="4"/>
    <s v="Oil &amp; Gas Services"/>
    <s v="Lagos"/>
    <s v="Lagos"/>
    <x v="5"/>
    <x v="1"/>
    <s v="Electrical"/>
    <n v="9"/>
    <n v="471000"/>
    <n v="0"/>
    <n v="4239000"/>
  </r>
  <r>
    <s v="TRX-10244"/>
    <d v="2025-10-11T00:00:00"/>
    <s v="October"/>
    <x v="2"/>
    <x v="10"/>
    <s v="Marine"/>
    <s v="Warri"/>
    <s v="Delta"/>
    <x v="11"/>
    <x v="3"/>
    <s v="Consumables"/>
    <n v="15"/>
    <n v="27000"/>
    <n v="0.02"/>
    <n v="396900"/>
  </r>
  <r>
    <s v="TRX-10150"/>
    <d v="2025-10-15T00:00:00"/>
    <s v="October"/>
    <x v="2"/>
    <x v="16"/>
    <s v="Engineering"/>
    <s v="Warri"/>
    <s v="Delta"/>
    <x v="1"/>
    <x v="1"/>
    <s v="Instrumentation"/>
    <n v="13"/>
    <n v="81000"/>
    <n v="0.05"/>
    <n v="1000350"/>
  </r>
  <r>
    <s v="TRX-10140"/>
    <d v="2025-08-27T00:00:00"/>
    <s v="August"/>
    <x v="0"/>
    <x v="14"/>
    <s v="Oil &amp; Gas Services"/>
    <s v="Owerri"/>
    <s v="Imo"/>
    <x v="12"/>
    <x v="2"/>
    <s v="Maintenance"/>
    <n v="5"/>
    <n v="206000"/>
    <n v="0"/>
    <n v="1030000"/>
  </r>
  <r>
    <s v="TRX-10068"/>
    <d v="2025-01-28T00:00:00"/>
    <s v="January"/>
    <x v="3"/>
    <x v="10"/>
    <s v="Marine"/>
    <s v="Warri"/>
    <s v="Delta"/>
    <x v="14"/>
    <x v="0"/>
    <s v="PPE"/>
    <n v="15"/>
    <n v="46000"/>
    <n v="0"/>
    <n v="690000"/>
  </r>
  <r>
    <s v="TRX-10004"/>
    <d v="2025-04-25T00:00:00"/>
    <s v="April"/>
    <x v="1"/>
    <x v="6"/>
    <s v="Industrial"/>
    <s v="Uyo"/>
    <s v="Akwa Ibom"/>
    <x v="3"/>
    <x v="1"/>
    <s v="Fabrication"/>
    <n v="13"/>
    <n v="365000"/>
    <n v="0"/>
    <n v="4745000"/>
  </r>
  <r>
    <s v="TRX-10087"/>
    <d v="2025-06-29T00:00:00"/>
    <s v="June"/>
    <x v="1"/>
    <x v="10"/>
    <s v="Marine"/>
    <s v="Warri"/>
    <s v="Delta"/>
    <x v="17"/>
    <x v="4"/>
    <s v="Electrical"/>
    <n v="11"/>
    <n v="102000"/>
    <n v="0.02"/>
    <n v="1099560"/>
  </r>
  <r>
    <s v="TRX-10178"/>
    <d v="2025-04-05T00:00:00"/>
    <s v="April"/>
    <x v="1"/>
    <x v="14"/>
    <s v="Oil &amp; Gas Services"/>
    <s v="Owerri"/>
    <s v="Imo"/>
    <x v="11"/>
    <x v="3"/>
    <s v="Consumables"/>
    <n v="15"/>
    <n v="28000"/>
    <n v="0.02"/>
    <n v="411600"/>
  </r>
  <r>
    <s v="TRX-10203"/>
    <d v="2025-06-25T00:00:00"/>
    <s v="June"/>
    <x v="1"/>
    <x v="17"/>
    <s v="Facilities"/>
    <s v="Lagos"/>
    <s v="Lagos"/>
    <x v="4"/>
    <x v="1"/>
    <s v="Pump"/>
    <n v="13"/>
    <n v="628000"/>
    <n v="0.02"/>
    <n v="8000720"/>
  </r>
  <r>
    <s v="TRX-10049"/>
    <d v="2025-01-24T00:00:00"/>
    <s v="January"/>
    <x v="3"/>
    <x v="13"/>
    <s v="Energy"/>
    <s v="Abuja"/>
    <s v="FCT"/>
    <x v="9"/>
    <x v="1"/>
    <s v="Valve"/>
    <n v="15"/>
    <n v="149000"/>
    <n v="0"/>
    <n v="2235000"/>
  </r>
  <r>
    <s v="TRX-10173"/>
    <d v="2025-10-14T00:00:00"/>
    <s v="October"/>
    <x v="2"/>
    <x v="0"/>
    <s v="Oil &amp; Gas Services"/>
    <s v="Port Harcourt"/>
    <s v="Rivers"/>
    <x v="15"/>
    <x v="2"/>
    <s v="Calibration"/>
    <n v="9"/>
    <n v="97000"/>
    <n v="0.02"/>
    <n v="855540"/>
  </r>
  <r>
    <s v="TRX-10052"/>
    <d v="2025-12-11T00:00:00"/>
    <s v="December"/>
    <x v="2"/>
    <x v="1"/>
    <s v="Marine"/>
    <s v="Bonny"/>
    <s v="Rivers"/>
    <x v="3"/>
    <x v="1"/>
    <s v="Fabrication"/>
    <n v="3"/>
    <n v="381000"/>
    <n v="0"/>
    <n v="1143000"/>
  </r>
  <r>
    <s v="TRX-10002"/>
    <d v="2025-02-24T00:00:00"/>
    <s v="February"/>
    <x v="3"/>
    <x v="10"/>
    <s v="Marine"/>
    <s v="Warri"/>
    <s v="Delta"/>
    <x v="1"/>
    <x v="1"/>
    <s v="Instrumentation"/>
    <n v="10"/>
    <n v="97000"/>
    <n v="0.05"/>
    <n v="921500"/>
  </r>
  <r>
    <s v="TRX-10019"/>
    <d v="2025-05-17T00:00:00"/>
    <s v="May"/>
    <x v="1"/>
    <x v="9"/>
    <s v="Energy"/>
    <s v="Abuja"/>
    <s v="FCT"/>
    <x v="13"/>
    <x v="0"/>
    <s v="PPE"/>
    <n v="9"/>
    <n v="75000"/>
    <n v="0"/>
    <n v="675000"/>
  </r>
  <r>
    <s v="TRX-10013"/>
    <d v="2025-12-04T00:00:00"/>
    <s v="December"/>
    <x v="2"/>
    <x v="19"/>
    <s v="HSE"/>
    <s v="Port Harcourt"/>
    <s v="Rivers"/>
    <x v="5"/>
    <x v="1"/>
    <s v="Electrical"/>
    <n v="15"/>
    <n v="574000"/>
    <n v="0.05"/>
    <n v="8179500"/>
  </r>
  <r>
    <s v="TRX-10050"/>
    <d v="2025-12-10T00:00:00"/>
    <s v="December"/>
    <x v="2"/>
    <x v="12"/>
    <s v="Engineering"/>
    <s v="Port Harcourt"/>
    <s v="Rivers"/>
    <x v="9"/>
    <x v="1"/>
    <s v="Valve"/>
    <n v="13"/>
    <n v="135000"/>
    <n v="0.1"/>
    <n v="1579500"/>
  </r>
  <r>
    <s v="TRX-10057"/>
    <d v="2025-06-12T00:00:00"/>
    <s v="June"/>
    <x v="1"/>
    <x v="4"/>
    <s v="Oil &amp; Gas Services"/>
    <s v="Lagos"/>
    <s v="Lagos"/>
    <x v="8"/>
    <x v="2"/>
    <s v="Inspection"/>
    <n v="2"/>
    <n v="108000"/>
    <n v="0.05"/>
    <n v="0"/>
  </r>
  <r>
    <s v="TRX-10179"/>
    <d v="2025-03-17T00:00:00"/>
    <s v="March"/>
    <x v="3"/>
    <x v="18"/>
    <s v="Inspection"/>
    <s v="Port Harcourt"/>
    <s v="Rivers"/>
    <x v="5"/>
    <x v="1"/>
    <s v="Electrical"/>
    <n v="2"/>
    <n v="589000"/>
    <n v="0"/>
    <n v="1178000"/>
  </r>
  <r>
    <s v="TRX-10026"/>
    <d v="2025-01-06T00:00:00"/>
    <s v="January"/>
    <x v="3"/>
    <x v="7"/>
    <s v="Logistics"/>
    <s v="Warri"/>
    <s v="Delta"/>
    <x v="4"/>
    <x v="1"/>
    <s v="Pump"/>
    <n v="4"/>
    <n v="743000"/>
    <n v="0"/>
    <n v="2972000"/>
  </r>
  <r>
    <s v="TRX-10184"/>
    <d v="2025-12-16T00:00:00"/>
    <s v="December"/>
    <x v="2"/>
    <x v="18"/>
    <s v="Inspection"/>
    <s v="Port Harcourt"/>
    <s v="Rivers"/>
    <x v="16"/>
    <x v="2"/>
    <s v="Maintenance"/>
    <n v="9"/>
    <n v="168000"/>
    <n v="0.02"/>
    <n v="1481760"/>
  </r>
  <r>
    <s v="TRX-10102"/>
    <d v="2025-01-09T00:00:00"/>
    <s v="January"/>
    <x v="3"/>
    <x v="18"/>
    <s v="Inspection"/>
    <s v="Port Harcourt"/>
    <s v="Rivers"/>
    <x v="11"/>
    <x v="3"/>
    <s v="Consumables"/>
    <n v="8"/>
    <n v="29000"/>
    <n v="0.05"/>
    <n v="220400"/>
  </r>
  <r>
    <s v="TRX-10187"/>
    <d v="2025-03-10T00:00:00"/>
    <s v="March"/>
    <x v="3"/>
    <x v="8"/>
    <s v="Environmental"/>
    <s v="Port Harcourt"/>
    <s v="Rivers"/>
    <x v="15"/>
    <x v="2"/>
    <s v="Calibration"/>
    <n v="12"/>
    <n v="105000"/>
    <n v="0"/>
    <n v="0"/>
  </r>
  <r>
    <s v="TRX-10044"/>
    <d v="2025-02-26T00:00:00"/>
    <s v="February"/>
    <x v="3"/>
    <x v="10"/>
    <s v="Marine"/>
    <s v="Warri"/>
    <s v="Delta"/>
    <x v="7"/>
    <x v="0"/>
    <s v="Safety"/>
    <n v="5"/>
    <n v="219000"/>
    <n v="0.02"/>
    <n v="0"/>
  </r>
  <r>
    <s v="TRX-10130"/>
    <d v="2025-10-22T00:00:00"/>
    <s v="October"/>
    <x v="2"/>
    <x v="8"/>
    <s v="Environmental"/>
    <s v="Port Harcourt"/>
    <s v="Rivers"/>
    <x v="14"/>
    <x v="0"/>
    <s v="PPE"/>
    <n v="14"/>
    <n v="43000"/>
    <n v="0.05"/>
    <n v="571900"/>
  </r>
  <r>
    <s v="TRX-10200"/>
    <d v="2025-11-08T00:00:00"/>
    <s v="November"/>
    <x v="2"/>
    <x v="20"/>
    <s v="HSE"/>
    <s v="Port Harcourt"/>
    <s v="Rivers"/>
    <x v="8"/>
    <x v="2"/>
    <s v="Inspection"/>
    <n v="3"/>
    <n v="131000"/>
    <n v="0"/>
    <n v="393000"/>
  </r>
  <r>
    <s v="TRX-10183"/>
    <d v="2025-05-22T00:00:00"/>
    <s v="May"/>
    <x v="1"/>
    <x v="15"/>
    <s v="Engineering"/>
    <s v="Port Harcourt"/>
    <s v="Rivers"/>
    <x v="8"/>
    <x v="2"/>
    <s v="Inspection"/>
    <n v="2"/>
    <n v="136000"/>
    <n v="0.02"/>
    <n v="266560"/>
  </r>
  <r>
    <s v="TRX-10204"/>
    <d v="2025-10-15T00:00:00"/>
    <s v="October"/>
    <x v="2"/>
    <x v="8"/>
    <s v="Environmental"/>
    <s v="Port Harcourt"/>
    <s v="Rivers"/>
    <x v="11"/>
    <x v="3"/>
    <s v="Consumables"/>
    <n v="5"/>
    <n v="31000"/>
    <n v="0.1"/>
    <n v="139500"/>
  </r>
  <r>
    <s v="TRX-10104"/>
    <d v="2025-10-25T00:00:00"/>
    <s v="October"/>
    <x v="2"/>
    <x v="0"/>
    <s v="Oil &amp; Gas Services"/>
    <s v="Port Harcourt"/>
    <s v="Rivers"/>
    <x v="7"/>
    <x v="0"/>
    <s v="Safety"/>
    <n v="3"/>
    <n v="198000"/>
    <n v="0.1"/>
    <n v="534600"/>
  </r>
  <r>
    <s v="TRX-10015"/>
    <d v="2025-04-25T00:00:00"/>
    <s v="April"/>
    <x v="1"/>
    <x v="5"/>
    <s v="Oil &amp; Gas Services"/>
    <s v="Lagos"/>
    <s v="Lagos"/>
    <x v="8"/>
    <x v="2"/>
    <s v="Inspection"/>
    <n v="8"/>
    <n v="111000"/>
    <n v="0"/>
    <n v="888000"/>
  </r>
  <r>
    <s v="TRX-10135"/>
    <d v="2025-11-19T00:00:00"/>
    <s v="November"/>
    <x v="2"/>
    <x v="20"/>
    <s v="HSE"/>
    <s v="Port Harcourt"/>
    <s v="Rivers"/>
    <x v="15"/>
    <x v="2"/>
    <s v="Calibration"/>
    <n v="1"/>
    <n v="108000"/>
    <n v="0.1"/>
    <n v="97200"/>
  </r>
  <r>
    <s v="TRX-10155"/>
    <d v="2025-10-05T00:00:00"/>
    <s v="October"/>
    <x v="2"/>
    <x v="5"/>
    <s v="Oil &amp; Gas Services"/>
    <s v="Lagos"/>
    <s v="Lagos"/>
    <x v="5"/>
    <x v="1"/>
    <s v="Electrical"/>
    <n v="8"/>
    <n v="596000"/>
    <n v="0.02"/>
    <n v="4672640"/>
  </r>
  <r>
    <s v="TRX-10116"/>
    <d v="2025-10-25T00:00:00"/>
    <s v="October"/>
    <x v="2"/>
    <x v="0"/>
    <s v="Oil &amp; Gas Services"/>
    <s v="Port Harcourt"/>
    <s v="Rivers"/>
    <x v="13"/>
    <x v="0"/>
    <s v="PPE"/>
    <n v="8"/>
    <n v="84000"/>
    <n v="0.1"/>
    <n v="604800"/>
  </r>
  <r>
    <s v="TRX-10110"/>
    <d v="2025-12-28T00:00:00"/>
    <s v="December"/>
    <x v="2"/>
    <x v="6"/>
    <s v="Industrial"/>
    <s v="Uyo"/>
    <s v="Akwa Ibom"/>
    <x v="1"/>
    <x v="1"/>
    <s v="Instrumentation"/>
    <n v="11"/>
    <n v="77000"/>
    <n v="0"/>
    <n v="847000"/>
  </r>
  <r>
    <s v="TRX-10071"/>
    <d v="2025-11-19T00:00:00"/>
    <s v="November"/>
    <x v="2"/>
    <x v="1"/>
    <s v="Marine"/>
    <s v="Bonny"/>
    <s v="Rivers"/>
    <x v="3"/>
    <x v="1"/>
    <s v="Fabrication"/>
    <n v="8"/>
    <n v="381000"/>
    <n v="0"/>
    <n v="3048000"/>
  </r>
  <r>
    <s v="TRX-10247"/>
    <d v="2025-06-10T00:00:00"/>
    <s v="June"/>
    <x v="1"/>
    <x v="8"/>
    <s v="Environmental"/>
    <s v="Port Harcourt"/>
    <s v="Rivers"/>
    <x v="16"/>
    <x v="2"/>
    <s v="Maintenance"/>
    <n v="9"/>
    <n v="149000"/>
    <n v="0.05"/>
    <n v="1273950"/>
  </r>
  <r>
    <s v="TRX-10159"/>
    <d v="2025-11-27T00:00:00"/>
    <s v="November"/>
    <x v="2"/>
    <x v="17"/>
    <s v="Facilities"/>
    <s v="Lagos"/>
    <s v="Lagos"/>
    <x v="10"/>
    <x v="1"/>
    <s v="Pump"/>
    <n v="1"/>
    <n v="397000"/>
    <n v="0.02"/>
    <n v="389060"/>
  </r>
  <r>
    <s v="TRX-10241"/>
    <d v="2025-09-25T00:00:00"/>
    <s v="September"/>
    <x v="0"/>
    <x v="8"/>
    <s v="Environmental"/>
    <s v="Port Harcourt"/>
    <s v="Rivers"/>
    <x v="15"/>
    <x v="2"/>
    <s v="Calibration"/>
    <n v="2"/>
    <n v="108000"/>
    <n v="0.02"/>
    <n v="211680"/>
  </r>
  <r>
    <s v="TRX-10016"/>
    <d v="2025-11-20T00:00:00"/>
    <s v="November"/>
    <x v="2"/>
    <x v="11"/>
    <s v="Industrial"/>
    <s v="Yenagoa"/>
    <s v="Bayelsa"/>
    <x v="17"/>
    <x v="4"/>
    <s v="Electrical"/>
    <n v="10"/>
    <n v="88000"/>
    <n v="0"/>
    <n v="880000"/>
  </r>
  <r>
    <s v="TRX-10147"/>
    <d v="2025-02-18T00:00:00"/>
    <s v="February"/>
    <x v="3"/>
    <x v="13"/>
    <s v="Energy"/>
    <s v="Abuja"/>
    <s v="FCT"/>
    <x v="2"/>
    <x v="1"/>
    <s v="Valve"/>
    <n v="12"/>
    <n v="251000"/>
    <n v="0.05"/>
    <n v="2861400"/>
  </r>
  <r>
    <s v="TRX-10206"/>
    <d v="2025-10-16T00:00:00"/>
    <s v="October"/>
    <x v="2"/>
    <x v="19"/>
    <s v="Environmental"/>
    <s v="Port Harcourt"/>
    <s v="Rivers"/>
    <x v="2"/>
    <x v="1"/>
    <s v="Valve"/>
    <n v="0"/>
    <n v="212000"/>
    <n v="0"/>
    <n v="2968000"/>
  </r>
  <r>
    <s v="TRX-10023"/>
    <d v="2025-12-06T00:00:00"/>
    <s v="December"/>
    <x v="2"/>
    <x v="20"/>
    <s v="HSE"/>
    <s v="Port Harcourt"/>
    <s v="Rivers"/>
    <x v="15"/>
    <x v="2"/>
    <s v="Calibration"/>
    <n v="3"/>
    <n v="91000"/>
    <n v="0.02"/>
    <n v="0"/>
  </r>
  <r>
    <s v="TRX-10139"/>
    <d v="2025-04-02T00:00:00"/>
    <s v="April"/>
    <x v="1"/>
    <x v="7"/>
    <s v="Logistics"/>
    <s v="Warri"/>
    <s v="Delta"/>
    <x v="5"/>
    <x v="1"/>
    <s v="Electrical"/>
    <n v="10"/>
    <n v="509000"/>
    <n v="0"/>
    <n v="5090000"/>
  </r>
  <r>
    <s v="TRX-10059"/>
    <d v="2025-08-11T00:00:00"/>
    <s v="August"/>
    <x v="0"/>
    <x v="7"/>
    <s v="Logistics"/>
    <s v="Warri"/>
    <s v="Delta"/>
    <x v="2"/>
    <x v="1"/>
    <s v="Valve"/>
    <n v="10"/>
    <n v="214000"/>
    <n v="0.02"/>
    <n v="2097200"/>
  </r>
  <r>
    <s v="TRX-10163"/>
    <d v="2025-04-02T00:00:00"/>
    <s v="April"/>
    <x v="1"/>
    <x v="14"/>
    <s v="Oil &amp; Gas Services"/>
    <s v="Owerri"/>
    <s v="Imo"/>
    <x v="4"/>
    <x v="1"/>
    <s v="Pump"/>
    <n v="3"/>
    <n v="715000"/>
    <n v="0.05"/>
    <n v="0"/>
  </r>
  <r>
    <s v="TRX-10076"/>
    <d v="2025-08-05T00:00:00"/>
    <s v="August"/>
    <x v="0"/>
    <x v="10"/>
    <s v="Marine"/>
    <s v="Warri"/>
    <s v="Delta"/>
    <x v="15"/>
    <x v="2"/>
    <s v="Calibration"/>
    <n v="13"/>
    <n v="102000"/>
    <n v="0.1"/>
    <n v="1193400"/>
  </r>
  <r>
    <s v="TRX-10065"/>
    <d v="2025-04-14T00:00:00"/>
    <s v="April"/>
    <x v="1"/>
    <x v="5"/>
    <s v="Oil &amp; Gas Services"/>
    <s v="Lagos"/>
    <s v="Lagos"/>
    <x v="10"/>
    <x v="1"/>
    <s v="Pump"/>
    <n v="1"/>
    <n v="401000"/>
    <n v="0"/>
    <n v="401000"/>
  </r>
  <r>
    <s v="TRX-10070"/>
    <d v="2025-03-25T00:00:00"/>
    <s v="March"/>
    <x v="3"/>
    <x v="20"/>
    <s v="HSE"/>
    <s v="Port Harcourt"/>
    <s v="Rivers"/>
    <x v="12"/>
    <x v="2"/>
    <s v="Maintenance"/>
    <n v="5"/>
    <n v="206000"/>
    <n v="0"/>
    <n v="1030000"/>
  </r>
  <r>
    <s v="TRX-10132"/>
    <d v="2025-09-17T00:00:00"/>
    <s v="September"/>
    <x v="0"/>
    <x v="18"/>
    <s v="Inspection"/>
    <s v="Port Harcourt"/>
    <s v="Rivers"/>
    <x v="2"/>
    <x v="1"/>
    <s v="Valve"/>
    <n v="14"/>
    <n v="226000"/>
    <n v="0"/>
    <n v="3164000"/>
  </r>
  <r>
    <s v="TRX-10169"/>
    <d v="2025-12-28T00:00:00"/>
    <s v="December"/>
    <x v="2"/>
    <x v="12"/>
    <s v="Engineering"/>
    <s v="Port Harcourt"/>
    <s v="Rivers"/>
    <x v="15"/>
    <x v="2"/>
    <s v="Calibration"/>
    <n v="12"/>
    <n v="85000"/>
    <n v="0"/>
    <n v="1020000"/>
  </r>
  <r>
    <s v="TRX-10077"/>
    <d v="2025-05-22T00:00:00"/>
    <s v="May"/>
    <x v="1"/>
    <x v="4"/>
    <s v="Oil &amp; Gas Services"/>
    <s v="Lagos"/>
    <s v="Lagos"/>
    <x v="16"/>
    <x v="2"/>
    <s v="Maintenance"/>
    <n v="1"/>
    <n v="163000"/>
    <n v="0.05"/>
    <n v="154850"/>
  </r>
  <r>
    <s v="TRX-10093"/>
    <d v="2025-10-14T00:00:00"/>
    <s v="October"/>
    <x v="2"/>
    <x v="3"/>
    <s v="Energy"/>
    <s v="Port Harcourt"/>
    <s v="Rivers"/>
    <x v="8"/>
    <x v="2"/>
    <s v="Inspection"/>
    <n v="4"/>
    <n v="130000"/>
    <n v="0"/>
    <n v="520000"/>
  </r>
  <r>
    <s v="TRX-10035"/>
    <d v="2025-10-04T00:00:00"/>
    <s v="October"/>
    <x v="2"/>
    <x v="13"/>
    <s v="Energy"/>
    <s v="Abuja"/>
    <s v="FCT"/>
    <x v="0"/>
    <x v="0"/>
    <s v="PPE"/>
    <n v="1"/>
    <n v="21000"/>
    <n v="0.1"/>
    <n v="18900"/>
  </r>
  <r>
    <s v="TRX-10156"/>
    <d v="2025-08-03T00:00:00"/>
    <s v="August"/>
    <x v="0"/>
    <x v="12"/>
    <s v="Engineering"/>
    <s v="Port Harcourt"/>
    <s v="Rivers"/>
    <x v="16"/>
    <x v="2"/>
    <s v="Maintenance"/>
    <n v="10"/>
    <n v="142000"/>
    <n v="0.05"/>
    <n v="1349000"/>
  </r>
  <r>
    <s v="TRX-10095"/>
    <d v="2025-06-02T00:00:00"/>
    <s v="June"/>
    <x v="1"/>
    <x v="1"/>
    <s v="Marine"/>
    <s v="Bonny"/>
    <s v="Rivers"/>
    <x v="5"/>
    <x v="1"/>
    <s v="Electrical"/>
    <n v="12"/>
    <n v="566000"/>
    <n v="0"/>
    <n v="6792000"/>
  </r>
  <r>
    <s v="TRX-10214"/>
    <d v="2025-11-08T00:00:00"/>
    <s v="November"/>
    <x v="2"/>
    <x v="5"/>
    <s v="Oil &amp; Gas Services"/>
    <s v="Lagos"/>
    <s v="Lagos"/>
    <x v="3"/>
    <x v="1"/>
    <s v="Fabrication"/>
    <n v="1"/>
    <n v="329000"/>
    <n v="0.05"/>
    <n v="312550"/>
  </r>
  <r>
    <s v="TRX-10098"/>
    <d v="2025-03-05T00:00:00"/>
    <s v="March"/>
    <x v="3"/>
    <x v="10"/>
    <s v="Marine"/>
    <s v="Warri"/>
    <s v="Delta"/>
    <x v="13"/>
    <x v="0"/>
    <s v="PPE"/>
    <n v="4"/>
    <n v="75000"/>
    <n v="0"/>
    <n v="300000"/>
  </r>
  <r>
    <s v="TRX-10103"/>
    <d v="2025-01-29T00:00:00"/>
    <s v="January"/>
    <x v="3"/>
    <x v="14"/>
    <s v="Oil &amp; Gas Services"/>
    <s v="Owerri"/>
    <s v="Imo"/>
    <x v="16"/>
    <x v="2"/>
    <s v="Maintenance"/>
    <n v="2"/>
    <n v="145000"/>
    <n v="0"/>
    <n v="290000"/>
  </r>
  <r>
    <s v="TRX-10181"/>
    <d v="2025-06-11T00:00:00"/>
    <s v="June"/>
    <x v="1"/>
    <x v="2"/>
    <s v="Procurement"/>
    <s v="Lagos"/>
    <s v="Lagos"/>
    <x v="1"/>
    <x v="1"/>
    <s v="Instrumentation"/>
    <n v="15"/>
    <n v="83000"/>
    <n v="0"/>
    <n v="1245000"/>
  </r>
  <r>
    <s v="TRX-10125"/>
    <d v="2025-06-01T00:00:00"/>
    <s v="June"/>
    <x v="1"/>
    <x v="9"/>
    <s v="Energy"/>
    <s v="Abuja"/>
    <s v="FCT"/>
    <x v="3"/>
    <x v="1"/>
    <s v="Fabrication"/>
    <n v="7"/>
    <n v="330000"/>
    <n v="0.05"/>
    <n v="2194500"/>
  </r>
  <r>
    <s v="TRX-10100"/>
    <d v="2025-04-04T00:00:00"/>
    <s v="April"/>
    <x v="1"/>
    <x v="13"/>
    <s v="Energy"/>
    <s v="Abuja"/>
    <s v="FCT"/>
    <x v="10"/>
    <x v="1"/>
    <s v="Pump"/>
    <n v="12"/>
    <n v="382000"/>
    <n v="0.1"/>
    <n v="4125600"/>
  </r>
  <r>
    <s v="TRX-10106"/>
    <d v="2025-08-21T00:00:00"/>
    <s v="August"/>
    <x v="0"/>
    <x v="6"/>
    <s v="Industrial"/>
    <s v="Uyo"/>
    <s v="Akwa Ibom"/>
    <x v="11"/>
    <x v="3"/>
    <s v="Consumables"/>
    <n v="14"/>
    <n v="27000"/>
    <n v="0.1"/>
    <n v="340200"/>
  </r>
  <r>
    <s v="TRX-10136"/>
    <d v="2025-04-29T00:00:00"/>
    <s v="April"/>
    <x v="1"/>
    <x v="7"/>
    <s v="Logistics"/>
    <s v="Warri"/>
    <s v="Delta"/>
    <x v="17"/>
    <x v="4"/>
    <s v="Electrical"/>
    <n v="2"/>
    <n v="92000"/>
    <n v="0"/>
    <n v="184000"/>
  </r>
  <r>
    <s v="TRX-10177"/>
    <d v="2025-10-17T00:00:00"/>
    <s v="October"/>
    <x v="2"/>
    <x v="17"/>
    <s v="Facilities"/>
    <s v="Lagos"/>
    <s v="Lagos"/>
    <x v="15"/>
    <x v="2"/>
    <s v="Calibration"/>
    <n v="1"/>
    <n v="101000"/>
    <n v="0"/>
    <n v="90900"/>
  </r>
  <r>
    <s v="TRX-10190"/>
    <d v="2025-03-31T00:00:00"/>
    <s v="March"/>
    <x v="3"/>
    <x v="17"/>
    <s v="Facilities"/>
    <s v="Lagos"/>
    <s v="Lagos"/>
    <x v="12"/>
    <x v="2"/>
    <s v="Maintenance"/>
    <n v="14"/>
    <n v="170000"/>
    <n v="0.02"/>
    <n v="2332400"/>
  </r>
  <r>
    <s v="TRX-10249"/>
    <d v="2025-10-03T00:00:00"/>
    <s v="October"/>
    <x v="2"/>
    <x v="4"/>
    <s v="Oil &amp; Gas Services"/>
    <s v="Lagos"/>
    <s v="Lagos"/>
    <x v="8"/>
    <x v="2"/>
    <s v="Inspection"/>
    <n v="15"/>
    <n v="137000"/>
    <n v="0"/>
    <n v="2055000"/>
  </r>
  <r>
    <s v="TRX-10069"/>
    <d v="2025-12-10T00:00:00"/>
    <s v="December"/>
    <x v="2"/>
    <x v="9"/>
    <s v="Energy"/>
    <s v="Abuja"/>
    <s v="FCT"/>
    <x v="15"/>
    <x v="2"/>
    <s v="Calibration"/>
    <n v="10"/>
    <n v="86000"/>
    <n v="0.02"/>
    <n v="842800"/>
  </r>
  <r>
    <s v="TRX-10085"/>
    <d v="2025-06-11T00:00:00"/>
    <s v="June"/>
    <x v="1"/>
    <x v="12"/>
    <s v="Engineering"/>
    <s v="Port Harcourt"/>
    <s v="Rivers"/>
    <x v="10"/>
    <x v="1"/>
    <s v="Pump"/>
    <n v="15"/>
    <n v="405000"/>
    <n v="0.02"/>
    <n v="0"/>
  </r>
  <r>
    <s v="TRX-10040"/>
    <d v="2025-06-13T00:00:00"/>
    <s v="June"/>
    <x v="1"/>
    <x v="7"/>
    <s v="Logistics"/>
    <s v="Warri"/>
    <s v="Delta"/>
    <x v="10"/>
    <x v="1"/>
    <s v="Pump"/>
    <n v="8"/>
    <n v="420000"/>
    <n v="0.1"/>
    <n v="0"/>
  </r>
  <r>
    <s v="TRX-10003"/>
    <d v="2025-04-24T00:00:00"/>
    <s v="April"/>
    <x v="1"/>
    <x v="1"/>
    <s v="Marine"/>
    <s v="Bonny"/>
    <s v="Rivers"/>
    <x v="8"/>
    <x v="2"/>
    <s v="Inspection"/>
    <n v="10"/>
    <n v="129000"/>
    <n v="0"/>
    <n v="0"/>
  </r>
  <r>
    <s v="TRX-10209"/>
    <d v="2025-09-19T00:00:00"/>
    <s v="September"/>
    <x v="0"/>
    <x v="10"/>
    <s v="Marine"/>
    <s v="Warri"/>
    <s v="Delta"/>
    <x v="8"/>
    <x v="2"/>
    <s v="Inspection"/>
    <n v="1"/>
    <n v="106000"/>
    <n v="0.02"/>
    <n v="0"/>
  </r>
  <r>
    <s v="TRX-10254"/>
    <d v="2025-11-15T00:00:00"/>
    <s v="November"/>
    <x v="2"/>
    <x v="3"/>
    <s v="Energy"/>
    <s v="Port Harcourt"/>
    <s v="Rivers"/>
    <x v="16"/>
    <x v="2"/>
    <s v="Maintenance"/>
    <n v="15"/>
    <n v="145000"/>
    <n v="0.1"/>
    <n v="1957500"/>
  </r>
  <r>
    <s v="TRX-10112"/>
    <d v="2025-02-02T00:00:00"/>
    <s v="February"/>
    <x v="3"/>
    <x v="11"/>
    <s v="Industrial"/>
    <s v="Yenagoa"/>
    <s v="Bayelsa"/>
    <x v="11"/>
    <x v="3"/>
    <s v="Consumables"/>
    <n v="10"/>
    <n v="26000"/>
    <n v="0.1"/>
    <n v="234000"/>
  </r>
  <r>
    <s v="TRX-10225"/>
    <d v="2025-08-31T00:00:00"/>
    <s v="August"/>
    <x v="0"/>
    <x v="0"/>
    <s v="Oil &amp; Gas Services"/>
    <s v="Port Harcourt"/>
    <s v="Rivers"/>
    <x v="5"/>
    <x v="1"/>
    <s v="Electrical"/>
    <n v="6"/>
    <n v="495000"/>
    <n v="0.02"/>
    <n v="2910600"/>
  </r>
  <r>
    <s v="TRX-10074"/>
    <d v="2025-06-21T00:00:00"/>
    <s v="June"/>
    <x v="1"/>
    <x v="10"/>
    <s v="Marine"/>
    <s v="Warri"/>
    <s v="Delta"/>
    <x v="12"/>
    <x v="2"/>
    <s v="Maintenance"/>
    <n v="7"/>
    <n v="198000"/>
    <n v="0"/>
    <n v="1386000"/>
  </r>
  <r>
    <s v="TRX-10048"/>
    <d v="2025-10-09T00:00:00"/>
    <s v="October"/>
    <x v="2"/>
    <x v="0"/>
    <s v="Oil &amp; Gas Services"/>
    <s v="Port Harcourt"/>
    <s v="Rivers"/>
    <x v="9"/>
    <x v="1"/>
    <s v="Valve"/>
    <n v="10"/>
    <n v="148000"/>
    <n v="0.1"/>
    <n v="1332000"/>
  </r>
  <r>
    <s v="TRX-10127"/>
    <d v="2025-05-24T00:00:00"/>
    <s v="May"/>
    <x v="1"/>
    <x v="19"/>
    <s v="Oil &amp; Gas Services"/>
    <s v="Lagos"/>
    <s v="Lagos"/>
    <x v="2"/>
    <x v="1"/>
    <s v="Valve"/>
    <n v="0"/>
    <n v="264000"/>
    <n v="0.1"/>
    <n v="3564000"/>
  </r>
  <r>
    <s v="TRX-10114"/>
    <d v="2025-02-13T00:00:00"/>
    <s v="February"/>
    <x v="3"/>
    <x v="17"/>
    <s v="Facilities"/>
    <s v="Lagos"/>
    <s v="Lagos"/>
    <x v="4"/>
    <x v="1"/>
    <s v="Pump"/>
    <n v="15"/>
    <n v="747000"/>
    <n v="0.05"/>
    <n v="10644750"/>
  </r>
  <r>
    <s v="TRX-10097"/>
    <d v="2025-05-21T00:00:00"/>
    <s v="May"/>
    <x v="1"/>
    <x v="13"/>
    <s v="Energy"/>
    <s v="Abuja"/>
    <s v="FCT"/>
    <x v="3"/>
    <x v="1"/>
    <s v="Fabrication"/>
    <n v="4"/>
    <n v="357000"/>
    <n v="0"/>
    <n v="1428000"/>
  </r>
  <r>
    <s v="TRX-10226"/>
    <d v="2025-02-06T00:00:00"/>
    <s v="February"/>
    <x v="3"/>
    <x v="16"/>
    <s v="Engineering"/>
    <s v="Warri"/>
    <s v="Delta"/>
    <x v="14"/>
    <x v="0"/>
    <s v="PPE"/>
    <n v="12"/>
    <n v="40000"/>
    <n v="0"/>
    <n v="0"/>
  </r>
  <r>
    <s v="TRX-10215"/>
    <d v="2025-05-28T00:00:00"/>
    <s v="May"/>
    <x v="1"/>
    <x v="7"/>
    <s v="Logistics"/>
    <s v="Warri"/>
    <s v="Delta"/>
    <x v="13"/>
    <x v="0"/>
    <s v="PPE"/>
    <n v="5"/>
    <n v="80000"/>
    <n v="0.05"/>
    <n v="0"/>
  </r>
  <r>
    <s v="TRX-10058"/>
    <d v="2025-01-25T00:00:00"/>
    <s v="January"/>
    <x v="3"/>
    <x v="4"/>
    <s v="Oil &amp; Gas Services"/>
    <s v="Lagos"/>
    <s v="Lagos"/>
    <x v="10"/>
    <x v="1"/>
    <s v="Pump"/>
    <n v="9"/>
    <n v="392000"/>
    <n v="0.1"/>
    <n v="3175200"/>
  </r>
  <r>
    <s v="TRX-10124"/>
    <d v="2025-02-19T00:00:00"/>
    <s v="February"/>
    <x v="3"/>
    <x v="1"/>
    <s v="Marine"/>
    <s v="Bonny"/>
    <s v="Rivers"/>
    <x v="6"/>
    <x v="1"/>
    <s v="Instrumentation"/>
    <n v="8"/>
    <n v="282000"/>
    <n v="0"/>
    <n v="2256000"/>
  </r>
  <r>
    <s v="TRX-10084"/>
    <d v="2025-08-29T00:00:00"/>
    <s v="August"/>
    <x v="0"/>
    <x v="14"/>
    <s v="Oil &amp; Gas Services"/>
    <s v="Owerri"/>
    <s v="Imo"/>
    <x v="9"/>
    <x v="1"/>
    <s v="Valve"/>
    <n v="3"/>
    <n v="130000"/>
    <n v="0.1"/>
    <n v="0"/>
  </r>
  <r>
    <s v="TRX-10018"/>
    <d v="2025-11-27T00:00:00"/>
    <s v="November"/>
    <x v="2"/>
    <x v="19"/>
    <s v="Procurement"/>
    <s v="Lagos"/>
    <s v="Lagos"/>
    <x v="6"/>
    <x v="1"/>
    <s v="Instrumentation"/>
    <n v="0"/>
    <n v="6800000"/>
    <n v="0.05"/>
    <n v="1505750"/>
  </r>
  <r>
    <s v="TRX-10231"/>
    <d v="2025-07-03T00:00:00"/>
    <s v="July"/>
    <x v="0"/>
    <x v="16"/>
    <s v="Engineering"/>
    <s v="Warri"/>
    <s v="Delta"/>
    <x v="17"/>
    <x v="4"/>
    <s v="Electrical"/>
    <n v="15"/>
    <n v="104000"/>
    <n v="0.05"/>
    <n v="1482000"/>
  </r>
  <r>
    <s v="TRX-10099"/>
    <d v="2025-10-31T00:00:00"/>
    <s v="October"/>
    <x v="2"/>
    <x v="9"/>
    <s v="Energy"/>
    <s v="Abuja"/>
    <s v="FCT"/>
    <x v="11"/>
    <x v="3"/>
    <s v="Consumables"/>
    <n v="2"/>
    <n v="25000"/>
    <n v="0"/>
    <n v="50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">
  <r>
    <s v="TRX-10121"/>
    <d v="2025-08-02T00:00:00"/>
    <s v="August"/>
    <s v="Q3"/>
    <s v="Riverside Drilling Services"/>
    <s v="Oil &amp; Gas Services"/>
    <s v="Port Harcourt"/>
    <s v="Rivers"/>
    <s v="Hard Hat"/>
    <s v="HSE"/>
    <s v="PPE"/>
    <n v="9"/>
    <n v="20000"/>
    <n v="0.02"/>
    <n v="0"/>
    <s v="Purchase Order "/>
    <x v="0"/>
    <s v="Cancelled"/>
  </r>
  <r>
    <s v="TRX-10025"/>
    <d v="2025-05-09T00:00:00"/>
    <s v="May"/>
    <s v="Q2"/>
    <s v="Bonny Offshore Support"/>
    <s v="Marine"/>
    <s v="Bonny"/>
    <s v="Rivers"/>
    <s v="Pressure Gauge"/>
    <s v="Equipment"/>
    <s v="Instrumentation"/>
    <n v="6"/>
    <n v="85000"/>
    <n v="0"/>
    <n v="0"/>
    <s v="Card"/>
    <x v="1"/>
    <s v="Cancelled"/>
  </r>
  <r>
    <s v="TRX-10072"/>
    <d v="2025-05-22T00:00:00"/>
    <s v="May"/>
    <s v="Q2"/>
    <s v="WestPoint Procurement"/>
    <s v="Procurement"/>
    <s v="Lagos"/>
    <s v="Lagos"/>
    <s v="Industrial Valve"/>
    <s v="Equipment"/>
    <s v="Valve"/>
    <n v="15"/>
    <n v="224000"/>
    <n v="0.1"/>
    <n v="3024000"/>
    <s v="Card"/>
    <x v="2"/>
    <s v="Completed"/>
  </r>
  <r>
    <s v="TRX-10161"/>
    <d v="2025-11-04T00:00:00"/>
    <s v="November"/>
    <s v="Q4"/>
    <s v="Seplat Energy"/>
    <s v="Energy"/>
    <s v="Port Harcourt"/>
    <s v="Rivers"/>
    <s v="Welding Machine"/>
    <s v="Equipment"/>
    <s v="Fabrication"/>
    <n v="14"/>
    <n v="343000"/>
    <n v="0"/>
    <n v="4802000"/>
    <s v="Cash"/>
    <x v="2"/>
    <s v="Completed"/>
  </r>
  <r>
    <s v="TRX-10174"/>
    <d v="2025-07-03T00:00:00"/>
    <s v="July"/>
    <s v="Q3"/>
    <s v="Deepwater Technical Ltd"/>
    <s v="Oil &amp; Gas Services"/>
    <s v="Lagos"/>
    <s v="Lagos"/>
    <s v="Submersible Pump"/>
    <s v="Equipment"/>
    <s v="Pump"/>
    <n v="5"/>
    <n v="640000"/>
    <n v="0.1"/>
    <n v="2880000"/>
    <s v="Cash"/>
    <x v="3"/>
    <s v="Completed"/>
  </r>
  <r>
    <s v="TRX-10126"/>
    <d v="2025-10-12T00:00:00"/>
    <s v="October"/>
    <s v="Q4"/>
    <s v="Atlantic Well Services"/>
    <s v="Oil &amp; Gas Services"/>
    <s v="Lagos"/>
    <s v="Lagos"/>
    <s v="Control Panel"/>
    <s v="Equipment"/>
    <s v="Electrical"/>
    <n v="4"/>
    <n v="518000"/>
    <n v="0.1"/>
    <n v="0"/>
    <s v="Card"/>
    <x v="3"/>
    <s v="Cancelled"/>
  </r>
  <r>
    <s v="TRX-10258"/>
    <d v="2025-06-05T00:00:00"/>
    <s v="June"/>
    <s v="Q2"/>
    <s v="Coastal Industrial Works"/>
    <s v="Industrial"/>
    <s v="Uyo"/>
    <s v="Akwa Ibom"/>
    <s v="Flow Meter"/>
    <s v="Equipment"/>
    <s v="Instrumentation"/>
    <n v="5"/>
    <n v="331000"/>
    <n v="0.05"/>
    <n v="1572250"/>
    <s v="Card"/>
    <x v="3"/>
    <s v="Completed"/>
  </r>
  <r>
    <s v="TRX-10236"/>
    <d v="2025-05-23T00:00:00"/>
    <s v="May"/>
    <s v="Q2"/>
    <s v="Riverside Drilling Services"/>
    <s v="Oil &amp; Gas Services"/>
    <s v="Port Harcourt"/>
    <s v="Rivers"/>
    <s v="Pressure Gauge"/>
    <s v="Equipment"/>
    <s v="Instrumentation"/>
    <n v="11"/>
    <n v="91000"/>
    <n v="0.05"/>
    <n v="950950"/>
    <s v="Card"/>
    <x v="4"/>
    <s v="Completed"/>
  </r>
  <r>
    <s v="TRX-10186"/>
    <d v="2025-05-31T00:00:00"/>
    <s v="May"/>
    <s v="Q2"/>
    <s v="WestPoint Procurement"/>
    <s v="Procurement"/>
    <s v="Lagos"/>
    <s v="Lagos"/>
    <s v="Flow Meter"/>
    <s v="Equipment"/>
    <s v="Instrumentation"/>
    <n v="1"/>
    <n v="328000"/>
    <n v="0.05"/>
    <n v="311600"/>
    <s v="P.O."/>
    <x v="2"/>
    <s v="Returned"/>
  </r>
  <r>
    <s v="TRX-10037"/>
    <d v="2025-04-08T00:00:00"/>
    <s v="April"/>
    <s v="Q2"/>
    <s v="Delta Marine Logistics"/>
    <s v="Logistics"/>
    <s v="Warri"/>
    <s v="Delta"/>
    <s v="Pressure Gauge"/>
    <s v="Equipment"/>
    <s v="Instrumentation"/>
    <n v="11"/>
    <n v="82000"/>
    <n v="0"/>
    <n v="902000"/>
    <s v="Bank Transfer"/>
    <x v="1"/>
    <s v="Pending"/>
  </r>
  <r>
    <s v="TRX-10073"/>
    <d v="2025-05-01T00:00:00"/>
    <s v="May"/>
    <s v="Q2"/>
    <s v="GreenDelta Environmental"/>
    <s v="Environmental"/>
    <s v="Port Harcourt"/>
    <s v="Rivers"/>
    <s v="Gas Detector"/>
    <s v="HSE"/>
    <s v="Safety"/>
    <n v="12"/>
    <n v="172000"/>
    <n v="0"/>
    <n v="2064000"/>
    <s v="Purchase Order"/>
    <x v="5"/>
    <s v="Completed"/>
  </r>
  <r>
    <s v="TRX-10030"/>
    <d v="2025-07-28T00:00:00"/>
    <s v="July"/>
    <s v="Q3"/>
    <s v="WestPoint Procurement"/>
    <s v="Procurement"/>
    <s v="Lagos"/>
    <s v="Lagos"/>
    <s v="Flow Meter"/>
    <s v="Equipment"/>
    <s v="Instrumentation"/>
    <n v="4"/>
    <n v="277000"/>
    <n v="0"/>
    <n v="1108000"/>
    <s v="Purchase Order"/>
    <x v="2"/>
    <s v="Completed"/>
  </r>
  <r>
    <s v="TRX-10224"/>
    <d v="2025-12-09T00:00:00"/>
    <s v="December"/>
    <s v="Q4"/>
    <s v="Delta Marine Logistics"/>
    <s v="Logistics"/>
    <s v="Warri"/>
    <s v="Delta"/>
    <s v="Hse Inspection"/>
    <s v="Service"/>
    <s v="Inspection"/>
    <n v="6"/>
    <n v="118000"/>
    <n v="0"/>
    <n v="0"/>
    <s v="Bank Transfer"/>
    <x v="5"/>
    <s v="Cancelled"/>
  </r>
  <r>
    <s v="TRX-10217"/>
    <d v="2025-07-24T00:00:00"/>
    <s v="July"/>
    <s v="Q3"/>
    <s v="Niger Basin Resources"/>
    <s v="Energy"/>
    <s v="Abuja"/>
    <s v="FCT"/>
    <s v="Ball Valve"/>
    <s v="Equipment"/>
    <s v="Valve"/>
    <n v="4"/>
    <n v="140000"/>
    <n v="0.05"/>
    <n v="532000"/>
    <s v="Cash"/>
    <x v="1"/>
    <s v="Done"/>
  </r>
  <r>
    <s v="TRX-10032"/>
    <d v="2025-01-28T00:00:00"/>
    <s v="January"/>
    <s v="Q1"/>
    <s v="Gulfline Marine Services"/>
    <s v="Marine"/>
    <s v="Warri"/>
    <s v="Delta"/>
    <s v="Industrial Pump"/>
    <s v="Equipment"/>
    <s v="Pump"/>
    <n v="2"/>
    <n v="389000"/>
    <n v="1.5"/>
    <n v="778000"/>
    <s v="Purchase Order"/>
    <x v="0"/>
    <s v="Done"/>
  </r>
  <r>
    <s v="TRX-10228"/>
    <d v="2025-11-22T00:00:00"/>
    <s v="November"/>
    <s v="Q4"/>
    <s v="Bayelsa Industrial Supplies"/>
    <s v="Industrial"/>
    <s v="Yenagoa"/>
    <s v="Bayelsa"/>
    <s v="Gas Detector"/>
    <s v="HSE"/>
    <s v="Safety"/>
    <n v="2"/>
    <n v="192000"/>
    <n v="0.05"/>
    <n v="364800"/>
    <s v="Cash"/>
    <x v="1"/>
    <s v="Done"/>
  </r>
  <r>
    <s v="TRX-10091"/>
    <d v="2025-05-07T00:00:00"/>
    <s v="May"/>
    <s v="Q2"/>
    <s v="Coastal Industrial Works"/>
    <s v="Industrial"/>
    <s v="Uyo"/>
    <s v="Akwa Ibom"/>
    <s v="Control Panel"/>
    <s v="Equipment"/>
    <s v="Electrical"/>
    <n v="6"/>
    <n v="474000"/>
    <n v="0"/>
    <n v="2844000"/>
    <s v="Cash"/>
    <x v="2"/>
    <s v="Pending"/>
  </r>
  <r>
    <s v="TRX-10031"/>
    <d v="2025-08-07T00:00:00"/>
    <s v="August"/>
    <s v="Q3"/>
    <s v="Bayelsa Industrial Supplies"/>
    <s v="Industrial"/>
    <s v="Yenagoa"/>
    <s v="Bayelsa"/>
    <s v="Welding Machine"/>
    <s v="Equipment"/>
    <s v="Fabrication"/>
    <n v="8"/>
    <n v="365000"/>
    <n v="0"/>
    <n v="2920000"/>
    <s v="Purchase Order"/>
    <x v="3"/>
    <s v="Done"/>
  </r>
  <r>
    <s v="TRX-10167"/>
    <d v="2025-02-13T00:00:00"/>
    <s v="February"/>
    <s v="Q1"/>
    <s v="WestPoint Procurement"/>
    <s v="Procurement"/>
    <s v="Lagos"/>
    <s v="Lagos"/>
    <s v="Gas Detector"/>
    <s v="HSE"/>
    <s v="Safety"/>
    <n v="2"/>
    <n v="188000"/>
    <n v="0"/>
    <n v="376000"/>
    <s v="Cash"/>
    <x v="5"/>
    <s v="Completed"/>
  </r>
  <r>
    <s v="TRX-10021"/>
    <d v="2025-01-12T00:00:00"/>
    <s v="January"/>
    <s v="Q1"/>
    <s v="Niger Delta Engineering"/>
    <s v="Engineering"/>
    <s v="Port Harcourt"/>
    <s v="Rivers"/>
    <s v="Ball Valve"/>
    <s v="Equipment"/>
    <s v="Valve"/>
    <n v="15"/>
    <n v="152000"/>
    <n v="0.02"/>
    <n v="2234400"/>
    <s v="Bank Transfer"/>
    <x v="1"/>
    <s v="Completed"/>
  </r>
  <r>
    <s v="TRX-10213"/>
    <d v="2025-08-27T00:00:00"/>
    <s v="August"/>
    <s v="Q3"/>
    <s v="Prime Energy Projects"/>
    <s v="Energy"/>
    <s v="Abuja"/>
    <s v="FCT"/>
    <s v="Control Panel"/>
    <s v="Equipment"/>
    <s v="Electrical"/>
    <n v="9"/>
    <n v="549000"/>
    <n v="0.1"/>
    <n v="4446900"/>
    <s v="Card"/>
    <x v="1"/>
    <s v="Pending"/>
  </r>
  <r>
    <s v="TRX-10168"/>
    <d v="2025-11-04T00:00:00"/>
    <s v="November"/>
    <s v="Q4"/>
    <s v="Niger Basin Resources"/>
    <s v="Energy"/>
    <s v="Abuja"/>
    <s v="FCT"/>
    <s v="Welding Electrodes"/>
    <s v="Consumables"/>
    <s v="Consumables"/>
    <n v="8"/>
    <n v="26000"/>
    <n v="0"/>
    <n v="0"/>
    <s v="Po"/>
    <x v="3"/>
    <s v="Cancelled"/>
  </r>
  <r>
    <s v="TRX-10137"/>
    <d v="2025-01-17T00:00:00"/>
    <s v="January"/>
    <s v="Q1"/>
    <s v="Riverside Drilling Services"/>
    <s v="Oil &amp; Gas Services"/>
    <s v="Port Harcourt"/>
    <s v="Rivers"/>
    <s v="Industrial Valve"/>
    <s v="Equipment"/>
    <s v="Valve"/>
    <n v="13"/>
    <n v="245000"/>
    <n v="0"/>
    <n v="3185000"/>
    <s v="Cash"/>
    <x v="6"/>
    <s v="Done"/>
  </r>
  <r>
    <s v="TRX-10081"/>
    <d v="2025-08-06T00:00:00"/>
    <s v="August"/>
    <s v="Q3"/>
    <s v="Eagle Field Solutions"/>
    <s v="Oil &amp; Gas Services"/>
    <s v="Owerri"/>
    <s v="Imo"/>
    <s v="Pressure Gauge"/>
    <s v="Equipment"/>
    <s v="Instrumentation"/>
    <n v="8"/>
    <n v="95000"/>
    <n v="0"/>
    <n v="760000"/>
    <s v="Bank Transfer"/>
    <x v="6"/>
    <s v="Returned"/>
  </r>
  <r>
    <s v="TRX-10043"/>
    <d v="2025-12-10T00:00:00"/>
    <s v="December"/>
    <s v="Q4"/>
    <s v="Gulfline Marine Services"/>
    <s v="Marine"/>
    <s v="Warri"/>
    <s v="Delta"/>
    <s v="Welding Electrodes"/>
    <s v="Consumables"/>
    <s v="Consumables"/>
    <n v="15"/>
    <n v="25000"/>
    <n v="0"/>
    <n v="375000"/>
    <s v="Cash"/>
    <x v="3"/>
    <s v="Completed"/>
  </r>
  <r>
    <s v="TRX-10053"/>
    <d v="2025-04-26T00:00:00"/>
    <s v="April"/>
    <s v="Q2"/>
    <s v="Trans-Amadi Fabrication"/>
    <s v="Engineering"/>
    <s v="Port Harcourt"/>
    <s v="Rivers"/>
    <s v="Generator Service"/>
    <s v="Service"/>
    <s v="Maintenance"/>
    <n v="6"/>
    <n v="204000"/>
    <n v="0.02"/>
    <n v="99999999"/>
    <s v="Card"/>
    <x v="4"/>
    <s v="Completed"/>
  </r>
  <r>
    <s v="TRX-10020"/>
    <d v="2025-03-22T00:00:00"/>
    <s v="March"/>
    <s v="Q1"/>
    <s v="Creekside Mechanical"/>
    <s v="Engineering"/>
    <s v="Warri"/>
    <s v="Delta"/>
    <s v="Safety Harness"/>
    <s v="HSE"/>
    <s v="PPE"/>
    <n v="9"/>
    <n v="72000"/>
    <n v="0.1"/>
    <n v="583200"/>
    <s v="Cash"/>
    <x v="0"/>
    <s v="Completed"/>
  </r>
  <r>
    <s v="TRX-10255"/>
    <d v="2025-05-08T00:00:00"/>
    <s v="May"/>
    <s v="Q2"/>
    <s v="GreenDelta Environmental"/>
    <s v="Environmental"/>
    <s v="Port Harcourt"/>
    <s v="Rivers"/>
    <s v="Welding Electrodes"/>
    <s v="Consumables"/>
    <s v="Consumables"/>
    <n v="8"/>
    <n v="26000"/>
    <n v="0"/>
    <n v="208000"/>
    <s v="Bank Transfer"/>
    <x v="2"/>
    <s v="Returned"/>
  </r>
  <r>
    <s v="TRX-10201"/>
    <d v="2025-02-15T00:00:00"/>
    <s v="February"/>
    <s v="Q1"/>
    <s v="Niger Basin Resources"/>
    <s v="Energy"/>
    <s v="Abuja"/>
    <s v="FCT"/>
    <s v="Safety Harness"/>
    <s v="HSE"/>
    <s v="PPE"/>
    <n v="1"/>
    <n v="79000"/>
    <n v="0"/>
    <n v="79000"/>
    <s v="Purchase Order"/>
    <x v="0"/>
    <s v="Returned"/>
  </r>
  <r>
    <s v="TRX-10086"/>
    <d v="2025-04-14T00:00:00"/>
    <s v="April"/>
    <s v="Q2"/>
    <s v="Delta Marine Logistics"/>
    <s v="Logistics"/>
    <s v="Warri"/>
    <s v="Delta"/>
    <s v="Safety Boots"/>
    <s v="HSE"/>
    <s v="PPE"/>
    <n v="2"/>
    <n v="41000"/>
    <n v="0.02"/>
    <n v="80360"/>
    <s v="Transfer"/>
    <x v="4"/>
    <s v="Returned"/>
  </r>
  <r>
    <s v="TRX-10175"/>
    <d v="2025-10-25T00:00:00"/>
    <s v="October"/>
    <s v="Q4"/>
    <s v="Niger Basin Resources"/>
    <s v="Energy"/>
    <s v="Abuja"/>
    <s v="FCT"/>
    <s v="Hard Hat"/>
    <s v="HSE"/>
    <s v="PPE"/>
    <n v="3"/>
    <n v="19000"/>
    <n v="0.05"/>
    <n v="54150"/>
    <s v="Bank Transfer"/>
    <x v="6"/>
    <s v="Completed"/>
  </r>
  <r>
    <s v="TRX-10143"/>
    <d v="2025-10-22T00:00:00"/>
    <s v="October"/>
    <s v="Q4"/>
    <s v="Creekside Mechanical"/>
    <s v="Engineering"/>
    <s v="Warri"/>
    <s v="Delta"/>
    <s v="Welding Electrodes"/>
    <s v="Consumables"/>
    <s v="Consumables"/>
    <n v="12"/>
    <n v="28000"/>
    <n v="0.02"/>
    <n v="329280"/>
    <s v="Purchase Order"/>
    <x v="7"/>
    <s v="Completed"/>
  </r>
  <r>
    <s v="TRX-10010"/>
    <d v="2025-11-10T00:00:00"/>
    <s v="November"/>
    <s v="Q4"/>
    <s v="Bayelsa Industrial Supplies"/>
    <s v="Industrial"/>
    <s v="Yenagoa"/>
    <s v="Bayelsa"/>
    <s v="Equipment Calibration"/>
    <s v="Service"/>
    <s v="Calibration"/>
    <n v="12"/>
    <n v="102000"/>
    <n v="0"/>
    <n v="1224000"/>
    <s v="Purchase Order"/>
    <x v="5"/>
    <s v="Completed"/>
  </r>
  <r>
    <s v="TRX-10216"/>
    <d v="2025-02-18T00:00:00"/>
    <s v="February"/>
    <s v="Q1"/>
    <s v="Bonny Offshore Support"/>
    <s v="Marine"/>
    <s v="Bonny"/>
    <s v="Rivers"/>
    <s v="Generator Service"/>
    <s v="Service"/>
    <s v="Maintenance"/>
    <n v="15"/>
    <n v="170000"/>
    <n v="0.02"/>
    <n v="2499000"/>
    <s v="Purchase Order"/>
    <x v="4"/>
    <s v="Completed"/>
  </r>
  <r>
    <s v="TRX-10172"/>
    <d v="2025-02-18T00:00:00"/>
    <s v="February"/>
    <s v="Q1"/>
    <s v="Delta Marine Logistics"/>
    <s v="Logistics"/>
    <s v="Warri"/>
    <s v="Delta"/>
    <s v="Pressure Gauge"/>
    <s v="Equipment"/>
    <s v="Instrumentation"/>
    <n v="7"/>
    <n v="75000"/>
    <n v="0"/>
    <n v="525000"/>
    <s v="Cash"/>
    <x v="2"/>
    <s v="Returned"/>
  </r>
  <r>
    <s v="TRX-10248"/>
    <d v="2025-06-14T00:00:00"/>
    <s v="June"/>
    <s v="Q2"/>
    <s v="Delta Marine Logistics"/>
    <s v="Logistics"/>
    <s v="Warri"/>
    <s v="Delta"/>
    <s v="Generator Service"/>
    <s v="Service"/>
    <s v="Maintenance"/>
    <n v="8"/>
    <n v="205000"/>
    <n v="0.1"/>
    <n v="1476000"/>
    <s v="Card"/>
    <x v="2"/>
    <s v="Completed"/>
  </r>
  <r>
    <s v="TRX-10006"/>
    <d v="2025-02-21T00:00:00"/>
    <s v="February"/>
    <s v="Q1"/>
    <s v="Creekside Mechanical"/>
    <s v="Engineering"/>
    <s v="Warri"/>
    <s v="Delta"/>
    <s v="Ball Valve"/>
    <s v="Equipment"/>
    <s v="Valve"/>
    <n v="150"/>
    <n v="134000"/>
    <n v="0.02"/>
    <n v="1313200"/>
    <s v="Purchase Order"/>
    <x v="3"/>
    <s v="Completed"/>
  </r>
  <r>
    <s v="TRX-10096"/>
    <d v="2025-10-13T00:00:00"/>
    <s v="October"/>
    <s v="Q4"/>
    <s v="Niger Basin Resources"/>
    <s v="Energy"/>
    <s v="Abuja"/>
    <s v="FCT"/>
    <s v="Ball Valve"/>
    <s v="Equipment"/>
    <s v="Valve"/>
    <n v="7"/>
    <n v="147000"/>
    <n v="0.1"/>
    <n v="926100"/>
    <s v="Cash"/>
    <x v="0"/>
    <s v="Completed"/>
  </r>
  <r>
    <s v="TRX-10237"/>
    <d v="2025-03-17T00:00:00"/>
    <s v="March"/>
    <s v="Q1"/>
    <s v="Vertex Facilities Ltd"/>
    <s v="Facilities"/>
    <s v="Lagos"/>
    <s v="Lagos"/>
    <s v="Generator Service"/>
    <s v="Service"/>
    <s v="Maintenance"/>
    <n v="1"/>
    <n v="172000"/>
    <n v="0"/>
    <n v="172000"/>
    <s v="Card"/>
    <x v="6"/>
    <s v="Done"/>
  </r>
  <r>
    <s v="TRX-10158"/>
    <d v="2025-02-03T00:00:00"/>
    <s v="February"/>
    <s v="Q1"/>
    <s v="GreenDelta Environmental"/>
    <s v="Environmental"/>
    <s v="Port Harcourt"/>
    <s v="Rivers"/>
    <s v="Welding Machine"/>
    <s v="Equipment"/>
    <s v="Fabrication"/>
    <n v="4"/>
    <n v="380000"/>
    <n v="0"/>
    <n v="1520000"/>
    <s v="Bank Transfer"/>
    <x v="1"/>
    <s v="Pending"/>
  </r>
  <r>
    <s v="TRX-10108"/>
    <d v="2025-05-05T00:00:00"/>
    <s v="May"/>
    <s v="Q2"/>
    <s v="Bayelsa Industrial Supplies"/>
    <s v="Industrial"/>
    <s v="Yenagoa"/>
    <s v="Bayelsa"/>
    <s v="Equipment Calibration"/>
    <s v="Service"/>
    <s v="Calibration"/>
    <n v="2"/>
    <n v="103000"/>
    <n v="0"/>
    <n v="206000"/>
    <s v="Purchase Order"/>
    <x v="0"/>
    <s v="Completed"/>
  </r>
  <r>
    <s v="TRX-10182"/>
    <d v="2025-12-14T00:00:00"/>
    <s v="December"/>
    <s v="Q4"/>
    <s v="Delta Marine Logistics"/>
    <s v="Logistics"/>
    <s v="Warri"/>
    <s v="Delta"/>
    <s v="Welding Machine"/>
    <s v="Equipment"/>
    <s v="Fabrication"/>
    <n v="8"/>
    <n v="319000"/>
    <n v="0.05"/>
    <n v="2424400"/>
    <s v="Purchase Order"/>
    <x v="5"/>
    <s v="Pending"/>
  </r>
  <r>
    <s v="TRX-10194"/>
    <d v="2025-04-01T00:00:00"/>
    <s v="April"/>
    <s v="Q2"/>
    <s v="Vertex Facilities Ltd"/>
    <s v="Facilities"/>
    <s v="Lagos"/>
    <s v="Lagos"/>
    <s v="Gas Detector"/>
    <s v="HSE"/>
    <s v="Safety"/>
    <n v="13"/>
    <n v="205000"/>
    <n v="0"/>
    <n v="2665000"/>
    <s v="Purchase Order"/>
    <x v="0"/>
    <s v="Completed"/>
  </r>
  <r>
    <s v="TRX-10123"/>
    <d v="2025-03-06T00:00:00"/>
    <s v="March"/>
    <s v="Q1"/>
    <s v="Seplat Energy"/>
    <s v="Energy"/>
    <s v="Port Harcourt"/>
    <s v="Rivers"/>
    <s v="Safety Boots"/>
    <s v="HSE"/>
    <s v="PPE"/>
    <n v="12"/>
    <n v="41000"/>
    <n v="0"/>
    <n v="492000"/>
    <s v="Bank Transfer"/>
    <x v="5"/>
    <s v="Done"/>
  </r>
  <r>
    <s v="TRX-10152"/>
    <d v="2025-12-14T00:00:00"/>
    <s v="December"/>
    <s v="Q4"/>
    <s v="Bonny Offshore Support"/>
    <s v="Marine"/>
    <s v="Bonny"/>
    <s v="Rivers"/>
    <s v="Pump Maintenance"/>
    <s v="Service"/>
    <s v="Maintenance"/>
    <n v="1"/>
    <n v="142000"/>
    <n v="0.1"/>
    <n v="0"/>
    <s v="Cash"/>
    <x v="1"/>
    <s v="Cancelled"/>
  </r>
  <r>
    <s v="TRX-10101"/>
    <d v="2025-01-30T00:00:00"/>
    <s v="January"/>
    <s v="Q1"/>
    <s v="Gulfline Marine Services"/>
    <s v="Marine"/>
    <s v="Warri"/>
    <s v="Delta"/>
    <s v="Welding Electrodes"/>
    <s v="Consumables"/>
    <s v="Consumables"/>
    <n v="12"/>
    <n v="25000"/>
    <n v="0"/>
    <n v="300000"/>
    <s v=""/>
    <x v="3"/>
    <s v="Returned"/>
  </r>
  <r>
    <s v="TRX-10054"/>
    <d v="2025-12-06T00:00:00"/>
    <s v="December"/>
    <s v="Q4"/>
    <s v="Trans-Amadi Fabrication"/>
    <s v="Engineering"/>
    <s v="Port Harcourt"/>
    <s v="Rivers"/>
    <s v="Control Panel"/>
    <s v="Equipment"/>
    <s v="Electrical"/>
    <n v="6"/>
    <n v="583000"/>
    <n v="0.02"/>
    <n v="3428040"/>
    <s v="Cash"/>
    <x v="6"/>
    <s v="Completed"/>
  </r>
  <r>
    <s v="TRX-10166"/>
    <d v="2025-09-05T00:00:00"/>
    <s v="September"/>
    <s v="Q3"/>
    <s v="GreenDelta Environmental"/>
    <s v="Environmental"/>
    <s v="Port Harcourt"/>
    <s v="Rivers"/>
    <s v="Cable Tray"/>
    <s v="Materials"/>
    <s v="Electrical"/>
    <n v="11"/>
    <n v="105000"/>
    <n v="0"/>
    <n v="1155000"/>
    <s v="Po"/>
    <x v="3"/>
    <s v="Pending"/>
  </r>
  <r>
    <s v="TRX-10133"/>
    <d v="2025-01-10T00:00:00"/>
    <s v="January"/>
    <s v="Q1"/>
    <s v="Atlantic Well Services"/>
    <s v="Oil &amp; Gas Services"/>
    <s v="Lagos"/>
    <s v="Lagos"/>
    <s v="Cable Tray"/>
    <s v="Materials"/>
    <s v="Electrical"/>
    <n v="14"/>
    <n v="87000"/>
    <n v="0"/>
    <n v="1218000"/>
    <s v="Purchase Order "/>
    <x v="7"/>
    <s v="Completed"/>
  </r>
  <r>
    <s v="TRX-10033"/>
    <d v="2025-09-06T00:00:00"/>
    <s v="September"/>
    <s v="Q3"/>
    <s v="Trans-Amadi Fabrication"/>
    <s v="Engineering"/>
    <s v="Port Harcourt"/>
    <s v="Rivers"/>
    <s v="Control Panel"/>
    <s v="Equipment"/>
    <s v="Electrical"/>
    <n v="15"/>
    <n v="467000"/>
    <n v="0"/>
    <n v="7005000"/>
    <s v="P.O."/>
    <x v="4"/>
    <s v="Completed"/>
  </r>
  <r>
    <s v="TRX-10251"/>
    <d v="2025-05-11T00:00:00"/>
    <s v="May"/>
    <s v="Q2"/>
    <s v="Trans-Amadi Fabrication"/>
    <s v="Engineering"/>
    <s v="Port Harcourt"/>
    <s v="Rivers"/>
    <s v="Equipment Calibration"/>
    <s v="Service"/>
    <s v="Calibration"/>
    <n v="5"/>
    <n v="91000"/>
    <n v="0"/>
    <n v="455000"/>
    <s v="Cash"/>
    <x v="8"/>
    <s v="Returned"/>
  </r>
  <r>
    <s v="TRX-10128"/>
    <d v="2025-06-04T00:00:00"/>
    <s v="June"/>
    <s v="Q2"/>
    <s v="SouthSouth Inspection Co"/>
    <s v="Inspection"/>
    <s v="Port Harcourt"/>
    <s v="Rivers"/>
    <s v="Pump Maintenance"/>
    <s v="Service"/>
    <s v="Maintenance"/>
    <n v="14"/>
    <n v="167000"/>
    <n v="0"/>
    <n v="2338000"/>
    <s v="Purchase Order"/>
    <x v="6"/>
    <s v="Pending"/>
  </r>
  <r>
    <s v="TRX-10083"/>
    <d v="2025-11-17T00:00:00"/>
    <s v="November"/>
    <s v="Q4"/>
    <s v="Atlantic Well Services"/>
    <s v="Oil &amp; Gas Services"/>
    <s v="Lagos"/>
    <s v="Lagos"/>
    <s v="Safety Boots"/>
    <s v="HSE"/>
    <s v="PPE"/>
    <n v="3"/>
    <n v="41000"/>
    <n v="0.05"/>
    <n v="116850"/>
    <s v="Bank Transfer"/>
    <x v="1"/>
    <s v="Returned"/>
  </r>
  <r>
    <s v="TRX-10022"/>
    <d v="2025-10-20T00:00:00"/>
    <s v="October"/>
    <s v="Q4"/>
    <s v="Delta Marine Logistics"/>
    <s v="Logistics"/>
    <s v="Warri"/>
    <s v="Delta"/>
    <s v="Pressure Gauge"/>
    <s v="Equipment"/>
    <s v="Instrumentation"/>
    <n v="12"/>
    <n v="78000"/>
    <n v="0.05"/>
    <n v="889200"/>
    <s v="Card"/>
    <x v="2"/>
    <s v="Completed"/>
  </r>
  <r>
    <s v="TRX-10062"/>
    <d v="2025-10-10T00:00:00"/>
    <s v="October"/>
    <s v="Q4"/>
    <s v="Seplat Energy"/>
    <s v="Energy"/>
    <s v="Port Harcourt"/>
    <s v="Rivers"/>
    <s v="Welding Electrodes"/>
    <s v="Consumables"/>
    <s v="Consumables"/>
    <n v="5"/>
    <n v="27000"/>
    <n v="0"/>
    <n v="135000"/>
    <s v="Cash"/>
    <x v="0"/>
    <s v="Pending"/>
  </r>
  <r>
    <s v="TRX-10202"/>
    <d v="2025-09-28T00:00:00"/>
    <s v="September"/>
    <s v="Q3"/>
    <s v="Niger Basin Resources"/>
    <s v="Energy"/>
    <s v="Abuja"/>
    <s v="FCT"/>
    <s v="Safety Harness"/>
    <s v="HSE"/>
    <s v="PPE"/>
    <n v="6"/>
    <n v="68000"/>
    <n v="0.02"/>
    <n v="399840"/>
    <s v="Purchase Order"/>
    <x v="5"/>
    <s v="Completed"/>
  </r>
  <r>
    <s v="TRX-10038"/>
    <d v="2025-10-26T00:00:00"/>
    <s v="October"/>
    <s v="Q4"/>
    <s v="Vertex Facilities Ltd"/>
    <s v="Facilities"/>
    <s v="Lagos"/>
    <s v="Lagos"/>
    <s v="Submersible Pump"/>
    <s v="Equipment"/>
    <s v="Pump"/>
    <n v="10"/>
    <n v="616000"/>
    <n v="0"/>
    <n v="6160000"/>
    <s v="Cash"/>
    <x v="7"/>
    <s v="Pending"/>
  </r>
  <r>
    <s v="TRX-10240"/>
    <d v="2025-06-12T00:00:00"/>
    <s v="June"/>
    <s v="Q2"/>
    <s v="Eagle Field Solutions"/>
    <s v="Oil &amp; Gas Services"/>
    <s v="Owerri"/>
    <s v="Imo"/>
    <s v="Safety Boots"/>
    <s v="HSE"/>
    <s v="PPE"/>
    <n v="2"/>
    <n v="39000"/>
    <n v="0"/>
    <n v="78000"/>
    <s v="Card"/>
    <x v="0"/>
    <s v="Returned"/>
  </r>
  <r>
    <s v="TRX-10056"/>
    <d v="2025-05-16T00:00:00"/>
    <s v="May"/>
    <s v="Q2"/>
    <s v="Bayelsa Industrial Supplies"/>
    <s v="Industrial"/>
    <s v="Yenagoa"/>
    <s v="Bayelsa"/>
    <s v="Welding Machine"/>
    <s v="Equipment"/>
    <s v="Fabrication"/>
    <n v="1"/>
    <n v="395000"/>
    <n v="0"/>
    <n v="0"/>
    <s v="Purchase Order"/>
    <x v="6"/>
    <s v="Cancelled"/>
  </r>
  <r>
    <s v="TRX-10242"/>
    <d v="2025-11-12T00:00:00"/>
    <s v="November"/>
    <s v="Q4"/>
    <s v="Prime Energy Projects"/>
    <s v="Energy"/>
    <s v="Abuja"/>
    <s v="FCT"/>
    <s v="Pump Maintenance"/>
    <s v="Service"/>
    <s v="Maintenance"/>
    <n v="4"/>
    <n v="171000"/>
    <n v="0"/>
    <n v="684000"/>
    <s v="Transfer"/>
    <x v="0"/>
    <s v="Completed"/>
  </r>
  <r>
    <s v="TRX-10064"/>
    <d v="2025-05-28T00:00:00"/>
    <s v="May"/>
    <s v="Q2"/>
    <s v="Niger Basin Resources"/>
    <s v="Energy"/>
    <s v="Abuja"/>
    <s v="FCT"/>
    <s v="Industrial Valve"/>
    <s v="Equipment"/>
    <s v="Valve"/>
    <n v="2"/>
    <n v="234000"/>
    <n v="0"/>
    <n v="468000"/>
    <s v="Cash"/>
    <x v="1"/>
    <s v="Returned"/>
  </r>
  <r>
    <s v="TRX-10233"/>
    <d v="2025-08-08T00:00:00"/>
    <s v="August"/>
    <s v="Q3"/>
    <s v="Delta Marine Logistics"/>
    <s v="Logistics"/>
    <s v="Warri"/>
    <s v="Delta"/>
    <s v="Cable Tray"/>
    <s v="Materials"/>
    <s v="Electrical"/>
    <n v="10"/>
    <n v="98000"/>
    <n v="0"/>
    <n v="0"/>
    <s v="Cash"/>
    <x v="6"/>
    <s v="Cancelled"/>
  </r>
  <r>
    <s v="TRX-10218"/>
    <d v="2025-01-17T00:00:00"/>
    <s v="January"/>
    <s v="Q1"/>
    <s v="WestPoint Procurement"/>
    <s v="Procurement"/>
    <s v="Lagos"/>
    <s v="Lagos"/>
    <s v="Flow Meter"/>
    <s v="Equipment"/>
    <s v="Instrumentation"/>
    <n v="14"/>
    <n v="335000"/>
    <n v="0.02"/>
    <n v="4596200"/>
    <s v="Card"/>
    <x v="4"/>
    <s v="Completed"/>
  </r>
  <r>
    <s v="TRX-10080"/>
    <d v="2025-07-16T00:00:00"/>
    <s v="July"/>
    <s v="Q3"/>
    <s v="WestPoint Procurement"/>
    <s v="Procurement"/>
    <s v="Lagos"/>
    <s v="Lagos"/>
    <s v="Hard Hat"/>
    <s v="HSE"/>
    <s v="PPE"/>
    <n v="8"/>
    <n v="16000"/>
    <n v="0.02"/>
    <n v="125440"/>
    <s v="Purchase Order"/>
    <x v="7"/>
    <s v="Completed"/>
  </r>
  <r>
    <s v="TRX-10113"/>
    <d v="2025-08-30T00:00:00"/>
    <s v="August"/>
    <s v="Q3"/>
    <s v="Prime Energy Projects"/>
    <s v="Energy"/>
    <s v="Abuja"/>
    <s v="FCT"/>
    <s v="Control Panel"/>
    <s v="Equipment"/>
    <s v="Electrical"/>
    <n v="5"/>
    <n v="588000"/>
    <n v="0.1"/>
    <n v="0"/>
    <s v="Purchase Order"/>
    <x v="0"/>
    <s v="Cancelled"/>
  </r>
  <r>
    <s v="TRX-10029"/>
    <d v="2025-08-07T00:00:00"/>
    <s v="August"/>
    <s v="Q3"/>
    <s v="Deepwater Technical Ltd"/>
    <s v="Oil &amp; Gas Services"/>
    <s v="Lagos"/>
    <s v="Lagos"/>
    <s v="Generator Service"/>
    <s v="Service"/>
    <s v="Maintenance"/>
    <n v="14"/>
    <n v="187000"/>
    <n v="0"/>
    <n v="2618000"/>
    <s v="Bank Transfer"/>
    <x v="4"/>
    <s v="Returned"/>
  </r>
  <r>
    <s v="TRX-10221"/>
    <d v="2025-05-30T00:00:00"/>
    <s v="May"/>
    <s v="Q2"/>
    <s v="Bonny Offshore Support"/>
    <s v="Marine"/>
    <s v="Bonny"/>
    <s v="Rivers"/>
    <s v="Welding Electrodes"/>
    <s v="Consumables"/>
    <s v="Consumables"/>
    <n v="2"/>
    <n v="30000"/>
    <n v="0"/>
    <n v="60000"/>
    <s v="Purchase Order"/>
    <x v="0"/>
    <s v="Done"/>
  </r>
  <r>
    <s v="TRX-10034"/>
    <d v="2025-07-21T00:00:00"/>
    <s v="July"/>
    <s v="Q3"/>
    <s v="Eagle Field Solutions"/>
    <s v="Oil &amp; Gas Services"/>
    <s v="Owerri"/>
    <s v="Imo"/>
    <s v="Generator Service"/>
    <s v="Service"/>
    <s v="Maintenance"/>
    <n v="5"/>
    <n v="205000"/>
    <n v="0.05"/>
    <n v="973750"/>
    <s v="Purchase Order"/>
    <x v="2"/>
    <s v="Returned"/>
  </r>
  <r>
    <s v="TRX-10067"/>
    <d v="2025-03-19T00:00:00"/>
    <s v="March"/>
    <s v="Q1"/>
    <s v="Seplat Energy"/>
    <s v="Energy"/>
    <s v="Port Harcourt"/>
    <s v="Rivers"/>
    <s v="Flow Meter"/>
    <s v="Equipment"/>
    <s v="Instrumentation"/>
    <n v="13"/>
    <n v="285000"/>
    <n v="0.05"/>
    <n v="3519750"/>
    <s v="Card"/>
    <x v="0"/>
    <s v="Completed"/>
  </r>
  <r>
    <s v="TRX-10222"/>
    <d v="2025-02-04T00:00:00"/>
    <s v="February"/>
    <s v="Q1"/>
    <s v="Niger Delta Engineering"/>
    <s v="Engineering"/>
    <s v="Port Harcourt"/>
    <s v="Rivers"/>
    <s v="Pump Maintenance"/>
    <s v="Service"/>
    <s v="Maintenance"/>
    <n v="10"/>
    <n v="155000"/>
    <n v="0.1"/>
    <n v="1395000"/>
    <s v="Card"/>
    <x v="2"/>
    <s v="Completed"/>
  </r>
  <r>
    <s v="TRX-10151"/>
    <d v="2025-08-23T00:00:00"/>
    <s v="August"/>
    <s v="Q3"/>
    <s v="Creekside Mechanical"/>
    <s v="Engineering"/>
    <s v="Warri"/>
    <s v="Delta"/>
    <s v="Welding Machine"/>
    <s v="Equipment"/>
    <s v="Fabrication"/>
    <n v="10"/>
    <n v="394000"/>
    <n v="0.05"/>
    <n v="3743000"/>
    <s v="Cash"/>
    <x v="3"/>
    <s v="Returned"/>
  </r>
  <r>
    <s v="TRX-10090"/>
    <d v="2025-08-14T00:00:00"/>
    <s v="August"/>
    <s v="Q3"/>
    <s v="SouthSouth Inspection Co"/>
    <s v="Inspection"/>
    <s v="Port Harcourt"/>
    <s v="Rivers"/>
    <s v="Welding Machine"/>
    <s v="Equipment"/>
    <s v="Fabrication"/>
    <n v="6"/>
    <n v="353000"/>
    <n v="0"/>
    <n v="2118000"/>
    <s v="Cash"/>
    <x v="0"/>
    <s v="Completed"/>
  </r>
  <r>
    <s v="TRX-10164"/>
    <d v="2025-09-03T00:00:00"/>
    <s v="September"/>
    <s v="Q3"/>
    <s v="Coastal Industrial Works"/>
    <s v="Industrial"/>
    <s v="Uyo"/>
    <s v="Akwa Ibom"/>
    <s v="Ball Valve"/>
    <s v="Equipment"/>
    <s v="Valve"/>
    <n v="9"/>
    <n v="149000"/>
    <n v="0.1"/>
    <n v="1206900"/>
    <s v="Purchase Order"/>
    <x v="1"/>
    <s v="Completed"/>
  </r>
  <r>
    <s v="TRX-10005"/>
    <d v="2025-05-25T00:00:00"/>
    <s v="May"/>
    <s v="Q2"/>
    <s v="Atlantic Well Services"/>
    <s v="Oil &amp; Gas Services"/>
    <s v="Lagos"/>
    <s v="Lagos"/>
    <s v="Hard Hat"/>
    <s v="HSE"/>
    <s v="PPE"/>
    <n v="13"/>
    <n v="17000"/>
    <n v="0.02"/>
    <n v="216580"/>
    <s v="Bank Transfer"/>
    <x v="5"/>
    <s v="Done"/>
  </r>
  <r>
    <s v="TRX-10243"/>
    <d v="2025-04-01T00:00:00"/>
    <s v="April"/>
    <s v="Q2"/>
    <s v="Coastal Industrial Works"/>
    <s v="Industrial"/>
    <s v="Uyo"/>
    <s v="Akwa Ibom"/>
    <s v="Pressure Gauge"/>
    <s v="Equipment"/>
    <s v="Instrumentation"/>
    <n v="13"/>
    <n v="96000"/>
    <n v="0.02"/>
    <n v="1223040"/>
    <s v="Cash"/>
    <x v="3"/>
    <s v="Returned"/>
  </r>
  <r>
    <s v="TRX-10195"/>
    <d v="2025-10-18T00:00:00"/>
    <s v="October"/>
    <s v="Q4"/>
    <s v="SouthSouth Inspection Co"/>
    <s v="Inspection"/>
    <s v="Port Harcourt"/>
    <s v="Rivers"/>
    <s v="Generator Service"/>
    <s v="Service"/>
    <s v="Maintenance"/>
    <n v="11"/>
    <n v="175000"/>
    <n v="0.1"/>
    <n v="1732500"/>
    <s v="Cash"/>
    <x v="6"/>
    <s v="Returned"/>
  </r>
  <r>
    <s v="TRX-10227"/>
    <d v="2025-01-25T00:00:00"/>
    <s v="January"/>
    <s v="Q1"/>
    <s v="Creekside Mechanical"/>
    <s v="Engineering"/>
    <s v="Warri"/>
    <s v="Delta"/>
    <s v="Equipment Calibration"/>
    <s v="Service"/>
    <s v="Calibration"/>
    <n v="6"/>
    <n v="109000"/>
    <n v="0"/>
    <n v="654000"/>
    <s v="Purchase Order"/>
    <x v="0"/>
    <s v="Returned"/>
  </r>
  <r>
    <s v="TRX-10138"/>
    <d v="2025-08-11T00:00:00"/>
    <s v="August"/>
    <s v="Q3"/>
    <s v="Atlantic Well Services"/>
    <s v="Oil &amp; Gas Services"/>
    <s v="Lagos"/>
    <s v="Lagos"/>
    <s v="Safety Boots"/>
    <s v="HSE"/>
    <s v="PPE"/>
    <n v="9"/>
    <n v="45000"/>
    <n v="0.05"/>
    <n v="0"/>
    <s v="Card"/>
    <x v="2"/>
    <s v="Cancelled"/>
  </r>
  <r>
    <s v="TRX-10117"/>
    <d v="2025-04-05T00:00:00"/>
    <s v="April"/>
    <s v="Q2"/>
    <s v="SouthSouth Inspection Co"/>
    <s v="Inspection"/>
    <s v="Port Harcourt"/>
    <s v="Rivers"/>
    <s v="Cable Tray"/>
    <s v="Materials"/>
    <s v="Electrical"/>
    <n v="11"/>
    <n v="104000"/>
    <n v="0.05"/>
    <n v="1086800"/>
    <s v="P.O."/>
    <x v="6"/>
    <s v="Completed"/>
  </r>
  <r>
    <s v="TRX-10235"/>
    <d v="2025-03-29T00:00:00"/>
    <s v="March"/>
    <s v="Q1"/>
    <s v="Coastal Industrial Works"/>
    <s v="Industrial"/>
    <s v="Uyo"/>
    <s v="Akwa Ibom"/>
    <s v="Ball Valve"/>
    <s v="Equipment"/>
    <s v="Valve"/>
    <n v="8"/>
    <n v="135000"/>
    <n v="0"/>
    <n v="1080000"/>
    <s v="Cash"/>
    <x v="5"/>
    <s v="Returned"/>
  </r>
  <r>
    <s v="TRX-10176"/>
    <d v="2025-10-14T00:00:00"/>
    <s v="October"/>
    <s v="Q4"/>
    <s v="Creekside Mechanical"/>
    <s v="Engineering"/>
    <s v="Warri"/>
    <s v="Delta"/>
    <s v="Flow Meter"/>
    <s v="Equipment"/>
    <s v="Instrumentation"/>
    <n v="13"/>
    <n v="287000"/>
    <n v="0.02"/>
    <n v="0"/>
    <s v="Card"/>
    <x v="5"/>
    <s v="Cancelled"/>
  </r>
  <r>
    <s v="TRX-10205"/>
    <d v="2025-10-28T00:00:00"/>
    <s v="October"/>
    <s v="Q4"/>
    <s v="Atlantic Well Services"/>
    <s v="Oil &amp; Gas Services"/>
    <s v="Lagos"/>
    <s v="Lagos"/>
    <s v="Ball Valve"/>
    <s v="Equipment"/>
    <s v="Valve"/>
    <n v="5"/>
    <n v="151000"/>
    <n v="0.05"/>
    <n v="717250"/>
    <s v="Bank Transfer"/>
    <x v="7"/>
    <s v="Completed"/>
  </r>
  <r>
    <s v="TRX-10024"/>
    <d v="2025-10-06T00:00:00"/>
    <s v="October"/>
    <s v="Q4"/>
    <s v="Trans-Amadi Fabrication"/>
    <s v="Engineering"/>
    <s v="Port Harcourt"/>
    <s v="Rivers"/>
    <s v="Welding Electrodes"/>
    <s v="Consumables"/>
    <s v="Consumables"/>
    <n v="7"/>
    <n v="27000"/>
    <n v="0.02"/>
    <n v="185220"/>
    <s v="Purchase Order"/>
    <x v="3"/>
    <s v="Pending"/>
  </r>
  <r>
    <s v="TRX-10160"/>
    <d v="2025-07-02T00:00:00"/>
    <s v="July"/>
    <s v="Q3"/>
    <s v="Gulfline Marine Services"/>
    <s v="Marine"/>
    <s v="Warri"/>
    <s v="Delta"/>
    <s v="Hard Hat"/>
    <s v="HSE"/>
    <s v="PPE"/>
    <n v="10"/>
    <n v="19000"/>
    <n v="0"/>
    <n v="190000"/>
    <s v="Cash"/>
    <x v="2"/>
    <s v="Completed"/>
  </r>
  <r>
    <s v="TRX-10145"/>
    <d v="2025-04-30T00:00:00"/>
    <s v="April"/>
    <s v="Q2"/>
    <s v="Vertex Facilities Ltd"/>
    <s v="Facilities"/>
    <s v="Lagos"/>
    <s v="Lagos"/>
    <s v="Ball Valve"/>
    <s v="Equipment"/>
    <s v="Valve"/>
    <n v="4"/>
    <n v="139000"/>
    <n v="0"/>
    <n v="0"/>
    <s v="Cash"/>
    <x v="2"/>
    <s v="Cancelled"/>
  </r>
  <r>
    <s v="TRX-10246"/>
    <d v="2025-07-06T00:00:00"/>
    <s v="July"/>
    <s v="Q3"/>
    <s v="Gulfline Marine Services"/>
    <s v="Marine"/>
    <s v="Warri"/>
    <s v="Delta"/>
    <s v="Ball Valve"/>
    <s v="Equipment"/>
    <s v="Valve"/>
    <n v="8"/>
    <n v="164000"/>
    <n v="0.1"/>
    <n v="1180800"/>
    <s v="Bank Transfer"/>
    <x v="8"/>
    <s v="Completed"/>
  </r>
  <r>
    <s v="TRX-10115"/>
    <d v="2025-01-16T00:00:00"/>
    <s v="January"/>
    <s v="Q1"/>
    <s v="Delta Marine Logistics"/>
    <s v="Logistics"/>
    <s v="Warri"/>
    <s v="Delta"/>
    <s v="Safety Boots"/>
    <s v="HSE"/>
    <s v="PPE"/>
    <n v="11"/>
    <n v="44000"/>
    <n v="0.1"/>
    <n v="0"/>
    <s v="Bank Transfer"/>
    <x v="7"/>
    <s v="Cancelled"/>
  </r>
  <r>
    <s v="TRX-10011"/>
    <d v="2025-05-21T00:00:00"/>
    <s v="May"/>
    <s v="Q2"/>
    <s v="Gulfline Marine Services"/>
    <s v="Marine"/>
    <s v="Warri"/>
    <s v="Delta"/>
    <s v="Safety Boots"/>
    <s v="HSE"/>
    <s v="PPE"/>
    <n v="11"/>
    <n v="37000"/>
    <n v="0.02"/>
    <n v="398860"/>
    <s v="Card"/>
    <x v="4"/>
    <s v="Completed"/>
  </r>
  <r>
    <s v="TRX-10232"/>
    <d v="2025-06-25T00:00:00"/>
    <s v="June"/>
    <s v="Q2"/>
    <s v="Bayelsa Industrial Supplies"/>
    <s v="Industrial"/>
    <s v="Yenagoa"/>
    <s v="Bayelsa"/>
    <s v="Pump Maintenance"/>
    <s v="Service"/>
    <s v="Maintenance"/>
    <n v="12"/>
    <n v="152000"/>
    <n v="0.05"/>
    <n v="1732800"/>
    <s v="Cash"/>
    <x v="3"/>
    <s v="Completed"/>
  </r>
  <r>
    <s v="TRX-10027"/>
    <d v="2025-09-23T00:00:00"/>
    <s v="September"/>
    <s v="Q3"/>
    <s v="Unknown"/>
    <s v="Marine"/>
    <s v="Bonny"/>
    <s v="Rivers"/>
    <s v="Welding Machine"/>
    <s v="Equipment"/>
    <s v="Fabrication"/>
    <n v="0"/>
    <n v="327000"/>
    <n v="0.05"/>
    <n v="3417150"/>
    <s v="Card"/>
    <x v="0"/>
    <s v="Completed"/>
  </r>
  <r>
    <s v="TRX-10012"/>
    <d v="2025-06-13T00:00:00"/>
    <s v="June"/>
    <s v="Q2"/>
    <s v="GreenDelta Environmental"/>
    <s v="Environmental"/>
    <s v="Port Harcourt"/>
    <s v="Rivers"/>
    <s v="Welding Machine"/>
    <s v="Equipment"/>
    <s v="Fabrication"/>
    <n v="2"/>
    <n v="400000"/>
    <n v="0"/>
    <n v="0"/>
    <s v="Cash"/>
    <x v="1"/>
    <s v="Cancelled"/>
  </r>
  <r>
    <s v="TRX-10148"/>
    <d v="2025-06-10T00:00:00"/>
    <s v="June"/>
    <s v="Q2"/>
    <s v="Creekside Mechanical"/>
    <s v="Engineering"/>
    <s v="Warri"/>
    <s v="Delta"/>
    <s v="Hse Inspection"/>
    <s v="Service"/>
    <s v="Inspection"/>
    <n v="9"/>
    <n v="122000"/>
    <n v="0.02"/>
    <n v="1076040"/>
    <s v="Cash"/>
    <x v="0"/>
    <s v="Completed"/>
  </r>
  <r>
    <s v="TRX-10063"/>
    <d v="2025-08-17T00:00:00"/>
    <s v="August"/>
    <s v="Q3"/>
    <s v="Coastal Industrial Works"/>
    <s v="Industrial"/>
    <s v="Uyo"/>
    <s v="Akwa Ibom"/>
    <s v="Hard Hat"/>
    <s v="HSE"/>
    <s v="PPE"/>
    <n v="9"/>
    <n v="20000"/>
    <n v="0.05"/>
    <n v="171000"/>
    <s v="Card"/>
    <x v="3"/>
    <s v="Returned"/>
  </r>
  <r>
    <s v="TRX-10082"/>
    <d v="2025-04-27T00:00:00"/>
    <s v="April"/>
    <s v="Q2"/>
    <s v="Delta Marine Logistics"/>
    <s v="Logistics"/>
    <s v="Warri"/>
    <s v="Delta"/>
    <s v="Submersible Pump"/>
    <s v="Equipment"/>
    <s v="Pump"/>
    <n v="13"/>
    <n v="713000"/>
    <n v="0"/>
    <n v="9269000"/>
    <s v="Card"/>
    <x v="4"/>
    <s v="Completed"/>
  </r>
  <r>
    <s v="TRX-10118"/>
    <d v="2025-07-31T00:00:00"/>
    <s v="July"/>
    <s v="Q3"/>
    <s v="WestPoint Procurement"/>
    <s v="Procurement"/>
    <s v="Lagos"/>
    <s v="Lagos"/>
    <s v="Industrial Valve"/>
    <s v="Equipment"/>
    <s v="Valve"/>
    <n v="11"/>
    <n v="223000"/>
    <n v="0"/>
    <n v="2453000"/>
    <s v="Cash"/>
    <x v="5"/>
    <s v="Completed"/>
  </r>
  <r>
    <s v="TRX-10055"/>
    <d v="2025-11-27T00:00:00"/>
    <s v="November"/>
    <s v="Q4"/>
    <s v="Niger Basin Resources"/>
    <s v="Energy"/>
    <s v="Abuja"/>
    <s v="FCT"/>
    <s v="Control Panel"/>
    <s v="Equipment"/>
    <s v="Electrical"/>
    <n v="11"/>
    <n v="542000"/>
    <n v="0.1"/>
    <n v="5365800"/>
    <s v="Bank Transfer"/>
    <x v="3"/>
    <s v="Done"/>
  </r>
  <r>
    <s v="TRX-10208"/>
    <d v="2025-09-08T00:00:00"/>
    <s v="September"/>
    <s v="Q3"/>
    <s v="Trans-Amadi Fabrication"/>
    <s v="Engineering"/>
    <s v="Port Harcourt"/>
    <s v="Rivers"/>
    <s v="Safety Boots"/>
    <s v="HSE"/>
    <s v="PPE"/>
    <n v="3"/>
    <n v="44000"/>
    <n v="0"/>
    <n v="132000"/>
    <s v="Cash"/>
    <x v="3"/>
    <s v="Done"/>
  </r>
  <r>
    <s v="TRX-10092"/>
    <d v="2025-09-09T00:00:00"/>
    <s v="September"/>
    <s v="Q3"/>
    <s v="Trans-Amadi Fabrication"/>
    <s v="Engineering"/>
    <s v="Port Harcourt"/>
    <s v="Rivers"/>
    <s v="Ball Valve"/>
    <s v="Equipment"/>
    <s v="Valve"/>
    <n v="13"/>
    <n v="156000"/>
    <n v="0.02"/>
    <n v="1987440"/>
    <s v="Cash"/>
    <x v="7"/>
    <s v="Completed"/>
  </r>
  <r>
    <s v="TRX-10165"/>
    <d v="2025-11-13T00:00:00"/>
    <s v="November"/>
    <s v="Q4"/>
    <s v="Riverside Drilling Services"/>
    <s v="Oil &amp; Gas Services"/>
    <s v="Port Harcourt"/>
    <s v="Rivers"/>
    <s v="Hse Inspection"/>
    <s v="Service"/>
    <s v="Inspection"/>
    <n v="5"/>
    <n v="109000"/>
    <n v="0.05"/>
    <n v="517750"/>
    <s v="Bank Transfer"/>
    <x v="4"/>
    <s v="Returned"/>
  </r>
  <r>
    <s v="TRX-10036"/>
    <d v="2025-02-01T00:00:00"/>
    <s v="February"/>
    <s v="Q1"/>
    <s v="Riverside Drilling Services"/>
    <s v="Oil &amp; Gas Services"/>
    <s v="Port Harcourt"/>
    <s v="Rivers"/>
    <s v="Pump Maintenance"/>
    <s v="Service"/>
    <s v="Maintenance"/>
    <n v="9"/>
    <n v="165000"/>
    <n v="0.1"/>
    <n v="1336500"/>
    <s v="Bank Transfer"/>
    <x v="3"/>
    <s v="Completed"/>
  </r>
  <r>
    <s v="TRX-10119"/>
    <d v="2025-12-24T00:00:00"/>
    <s v="December"/>
    <s v="Q4"/>
    <s v="Orion HSE Solutions"/>
    <s v="HSE"/>
    <s v="Port Harcourt"/>
    <s v="Rivers"/>
    <s v="Welding Electrodes"/>
    <s v="Consumables"/>
    <s v="Consumables"/>
    <n v="11"/>
    <n v="31000"/>
    <n v="0.05"/>
    <n v="0"/>
    <s v="Bank Transfer"/>
    <x v="0"/>
    <s v="Cancelled"/>
  </r>
  <r>
    <s v="TRX-10157"/>
    <d v="2025-04-24T00:00:00"/>
    <s v="April"/>
    <s v="Q2"/>
    <s v="Coastal Industrial Works"/>
    <s v="Industrial"/>
    <s v="Uyo"/>
    <s v="Akwa Ibom"/>
    <s v="Generator Service"/>
    <s v="Service"/>
    <s v="Maintenance"/>
    <n v="4"/>
    <n v="191000"/>
    <n v="0.02"/>
    <n v="748720"/>
    <s v="Cash"/>
    <x v="6"/>
    <s v="Completed"/>
  </r>
  <r>
    <s v="TRX-10162"/>
    <d v="2025-02-28T00:00:00"/>
    <s v="February"/>
    <s v="Q1"/>
    <s v="Seplat Energy"/>
    <s v="Energy"/>
    <s v="Port Harcourt"/>
    <s v="Rivers"/>
    <s v="Gas Detector"/>
    <s v="HSE"/>
    <s v="Safety"/>
    <n v="1"/>
    <n v="205000"/>
    <n v="0.02"/>
    <n v="200900"/>
    <s v="Cash"/>
    <x v="4"/>
    <s v="Done"/>
  </r>
  <r>
    <s v="TRX-10211"/>
    <d v="2025-08-01T00:00:00"/>
    <s v="August"/>
    <s v="Q3"/>
    <s v="Creekside Mechanical"/>
    <s v="Engineering"/>
    <s v="Warri"/>
    <s v="Delta"/>
    <s v="Safety Boots"/>
    <s v="HSE"/>
    <s v="PPE"/>
    <n v="8"/>
    <n v="43000"/>
    <n v="0.1"/>
    <n v="309600"/>
    <s v="Purchase Order"/>
    <x v="1"/>
    <s v="Completed"/>
  </r>
  <r>
    <s v="TRX-10259"/>
    <d v="2025-01-28T00:00:00"/>
    <s v="January"/>
    <s v="Q1"/>
    <s v="Prime Energy Projects"/>
    <s v="Energy"/>
    <s v="Abuja"/>
    <s v="FCT"/>
    <s v="Control Panel"/>
    <s v="Equipment"/>
    <s v="Electrical"/>
    <n v="14"/>
    <n v="538000"/>
    <n v="0.1"/>
    <n v="6778800"/>
    <s v="Card"/>
    <x v="2"/>
    <s v="Pending"/>
  </r>
  <r>
    <s v="TRX-10207"/>
    <d v="2025-09-20T00:00:00"/>
    <s v="September"/>
    <s v="Q3"/>
    <s v="Creekside Mechanical"/>
    <s v="Engineering"/>
    <s v="Warri"/>
    <s v="Delta"/>
    <s v="Industrial Pump"/>
    <s v="Equipment"/>
    <s v="Pump"/>
    <n v="6"/>
    <n v="381000"/>
    <n v="0.02"/>
    <n v="2240280"/>
    <s v="Card"/>
    <x v="6"/>
    <s v="Completed"/>
  </r>
  <r>
    <s v="TRX-10051"/>
    <d v="2025-03-27T00:00:00"/>
    <s v="March"/>
    <s v="Q1"/>
    <s v="Bayelsa Industrial Supplies"/>
    <s v="Industrial"/>
    <s v="Yenagoa"/>
    <s v="Bayelsa"/>
    <s v="Cable Tray"/>
    <s v="Materials"/>
    <s v="Electrical"/>
    <n v="1"/>
    <n v="108000"/>
    <n v="0"/>
    <n v="108000"/>
    <s v="Cash"/>
    <x v="5"/>
    <s v="Returned"/>
  </r>
  <r>
    <s v="TRX-10219"/>
    <d v="2025-05-29T00:00:00"/>
    <s v="May"/>
    <s v="Q2"/>
    <s v="Orion HSE Solutions"/>
    <s v="HSE"/>
    <s v="Port Harcourt"/>
    <s v="Rivers"/>
    <s v="Gas Detector"/>
    <s v="HSE"/>
    <s v="Safety"/>
    <n v="13"/>
    <n v="206000"/>
    <n v="0.05"/>
    <n v="2544100"/>
    <s v="Transfer"/>
    <x v="3"/>
    <s v="Pending"/>
  </r>
  <r>
    <s v="TRX-10234"/>
    <d v="2025-02-24T00:00:00"/>
    <s v="February"/>
    <s v="Q1"/>
    <s v="Delta Marine Logistics"/>
    <s v="Logistics"/>
    <s v="Warri"/>
    <s v="Delta"/>
    <s v="Industrial Valve"/>
    <s v="Equipment"/>
    <s v="Valve"/>
    <n v="11"/>
    <n v="243000"/>
    <n v="0.02"/>
    <n v="2619540"/>
    <s v="Po"/>
    <x v="5"/>
    <s v="Completed"/>
  </r>
  <r>
    <s v="TRX-10196"/>
    <d v="2025-03-21T00:00:00"/>
    <s v="March"/>
    <s v="Q1"/>
    <s v="Coastal Industrial Works"/>
    <s v="Industrial"/>
    <s v="Uyo"/>
    <s v="Akwa Ibom"/>
    <s v="Pressure Gauge"/>
    <s v="Equipment"/>
    <s v="Instrumentation"/>
    <n v="8"/>
    <n v="83000"/>
    <n v="0.05"/>
    <n v="630800"/>
    <s v="Cash"/>
    <x v="7"/>
    <s v="Returned"/>
  </r>
  <r>
    <s v="TRX-10197"/>
    <d v="2025-11-01T00:00:00"/>
    <s v="November"/>
    <s v="Q4"/>
    <s v="Riverside Drilling Services"/>
    <s v="Oil &amp; Gas Services"/>
    <s v="Port Harcourt"/>
    <s v="Rivers"/>
    <s v="Ball Valve"/>
    <s v="Equipment"/>
    <s v="Valve"/>
    <n v="9"/>
    <n v="156000"/>
    <n v="0"/>
    <n v="1404000"/>
    <s v="Purchase Order"/>
    <x v="0"/>
    <s v="Completed"/>
  </r>
  <r>
    <s v="TRX-10144"/>
    <d v="2025-01-07T00:00:00"/>
    <s v="January"/>
    <s v="Q1"/>
    <s v="SouthSouth Inspection Co"/>
    <s v="Inspection"/>
    <s v="Port Harcourt"/>
    <s v="Rivers"/>
    <s v="Submersible Pump"/>
    <s v="Equipment"/>
    <s v="Pump"/>
    <n v="15"/>
    <n v="654000"/>
    <n v="0.1"/>
    <n v="8829000"/>
    <s v="Purchase Order "/>
    <x v="7"/>
    <s v="Returned"/>
  </r>
  <r>
    <s v="TRX-10238"/>
    <d v="2025-07-07T00:00:00"/>
    <s v="July"/>
    <s v="Q3"/>
    <s v="GreenDelta Environmental"/>
    <s v="Environmental"/>
    <s v="Port Harcourt"/>
    <s v="Rivers"/>
    <s v="Submersible Pump"/>
    <s v="Equipment"/>
    <s v="Pump"/>
    <n v="10"/>
    <n v="603000"/>
    <n v="0"/>
    <n v="6030000"/>
    <s v="Purchase Order"/>
    <x v="6"/>
    <s v="Returned"/>
  </r>
  <r>
    <s v="TRX-10212"/>
    <d v="2025-10-03T00:00:00"/>
    <s v="October"/>
    <s v="Q4"/>
    <s v="Bonny Offshore Support"/>
    <s v="Marine"/>
    <s v="Bonny"/>
    <s v="Rivers"/>
    <s v="Welding Electrodes"/>
    <s v="Consumables"/>
    <s v="Consumables"/>
    <n v="13"/>
    <n v="30000"/>
    <n v="0.05"/>
    <n v="370500"/>
    <s v="Cash"/>
    <x v="0"/>
    <s v="Done"/>
  </r>
  <r>
    <s v="TRX-10245"/>
    <d v="2025-09-20T00:00:00"/>
    <s v="September"/>
    <s v="Q3"/>
    <s v="Bonny Offshore Support"/>
    <s v="Marine"/>
    <s v="Bonny"/>
    <s v="Rivers"/>
    <s v="Flow Meter"/>
    <s v="Equipment"/>
    <s v="Instrumentation"/>
    <n v="4"/>
    <n v="274000"/>
    <n v="0"/>
    <n v="1096000"/>
    <s v="Purchase Order"/>
    <x v="4"/>
    <s v="Completed"/>
  </r>
  <r>
    <s v="TRX-10253"/>
    <d v="2025-01-17T00:00:00"/>
    <s v="January"/>
    <s v="Q1"/>
    <s v="Delta Marine Logistics"/>
    <s v="Logistics"/>
    <s v="Warri"/>
    <s v="Delta"/>
    <s v="Submersible Pump"/>
    <s v="Equipment"/>
    <s v="Pump"/>
    <n v="11"/>
    <n v="755000"/>
    <n v="0.1"/>
    <n v="7474500"/>
    <s v="Card"/>
    <x v="5"/>
    <s v="Done"/>
  </r>
  <r>
    <s v="TRX-10180"/>
    <d v="2025-10-01T00:00:00"/>
    <s v="October"/>
    <s v="Q4"/>
    <s v="Trans-Amadi Fabrication"/>
    <s v="Engineering"/>
    <s v="Port Harcourt"/>
    <s v="Rivers"/>
    <s v="Control Panel"/>
    <s v="Equipment"/>
    <s v="Electrical"/>
    <n v="7"/>
    <n v="477000"/>
    <n v="0.05"/>
    <n v="3172050"/>
    <s v="Card"/>
    <x v="6"/>
    <s v="Completed"/>
  </r>
  <r>
    <s v="TRX-10079"/>
    <d v="2025-11-28T00:00:00"/>
    <s v="November"/>
    <s v="Q4"/>
    <s v="Deepwater Technical Ltd"/>
    <s v="Oil &amp; Gas Services"/>
    <s v="Lagos"/>
    <s v="Lagos"/>
    <s v="Gas Detector"/>
    <s v="HSE"/>
    <s v="Safety"/>
    <n v="14"/>
    <n v="190000"/>
    <n v="0.05"/>
    <n v="2527000"/>
    <s v="Bank Transfer"/>
    <x v="7"/>
    <s v="Completed"/>
  </r>
  <r>
    <s v="TRX-10042"/>
    <d v="2025-07-11T00:00:00"/>
    <s v="July"/>
    <s v="Q3"/>
    <s v="Prime Energy Projects"/>
    <s v="Energy"/>
    <s v="Abuja"/>
    <s v="FCT"/>
    <s v="Safety Harness"/>
    <s v="HSE"/>
    <s v="PPE"/>
    <n v="8"/>
    <n v="76000"/>
    <n v="0.1"/>
    <n v="547200"/>
    <s v="Cash"/>
    <x v="4"/>
    <s v="Returned"/>
  </r>
  <r>
    <s v="TRX-10131"/>
    <d v="2025-12-30T00:00:00"/>
    <s v="December"/>
    <s v="Q4"/>
    <s v="GreenDelta Environmental"/>
    <s v="Environmental"/>
    <s v="Port Harcourt"/>
    <s v="Rivers"/>
    <s v="Control Panel"/>
    <s v="Equipment"/>
    <s v="Electrical"/>
    <n v="11"/>
    <n v="516000"/>
    <n v="0"/>
    <n v="5676000"/>
    <s v="Bank Transfer"/>
    <x v="2"/>
    <s v="Pending"/>
  </r>
  <r>
    <s v="TRX-10199"/>
    <d v="2025-08-27T00:00:00"/>
    <s v="August"/>
    <s v="Q3"/>
    <s v="SouthSouth Inspection Co"/>
    <s v="Inspection"/>
    <s v="Port Harcourt"/>
    <s v="Rivers"/>
    <s v="Equipment Calibration"/>
    <s v="Service"/>
    <s v="Calibration"/>
    <n v="13"/>
    <n v="106000"/>
    <n v="0"/>
    <n v="1378000"/>
    <s v="Card"/>
    <x v="6"/>
    <s v="Pending"/>
  </r>
  <r>
    <s v="TRX-10129"/>
    <d v="2025-06-22T00:00:00"/>
    <s v="June"/>
    <s v="Q2"/>
    <s v="Gulfline Marine Services"/>
    <s v="Marine"/>
    <s v="Warri"/>
    <s v="Delta"/>
    <s v="Equipment Calibration"/>
    <s v="Service"/>
    <s v="Calibration"/>
    <n v="7"/>
    <n v="84000"/>
    <n v="0.05"/>
    <n v="558600"/>
    <s v="Card"/>
    <x v="1"/>
    <s v="Completed"/>
  </r>
  <r>
    <s v="TRX-10239"/>
    <d v="2025-07-12T00:00:00"/>
    <s v="July"/>
    <s v="Q3"/>
    <s v="Coastal Industrial Works"/>
    <s v="Industrial"/>
    <s v="Uyo"/>
    <s v="Akwa Ibom"/>
    <s v="Pressure Gauge"/>
    <s v="Equipment"/>
    <s v="Instrumentation"/>
    <n v="10"/>
    <n v="90000"/>
    <n v="0"/>
    <n v="0"/>
    <s v="Cash"/>
    <x v="5"/>
    <s v="Cancelled"/>
  </r>
  <r>
    <s v="TRX-10014"/>
    <d v="2025-05-09T00:00:00"/>
    <s v="May"/>
    <s v="Q2"/>
    <s v="Gulfline Marine Services"/>
    <s v="Marine"/>
    <s v="Warri"/>
    <s v="Delta"/>
    <s v="Equipment Calibration"/>
    <s v="Service"/>
    <s v="Calibration"/>
    <n v="5"/>
    <n v="89000"/>
    <n v="0.1"/>
    <n v="400500"/>
    <s v="Purchase Order"/>
    <x v="6"/>
    <s v="Pending"/>
  </r>
  <r>
    <s v="TRX-10008"/>
    <d v="2025-01-26T00:00:00"/>
    <s v="January"/>
    <s v="Q1"/>
    <s v="Bonny Offshore Support"/>
    <s v="Marine"/>
    <s v="Bonny"/>
    <s v="Rivers"/>
    <s v="Welding Electrodes"/>
    <s v="Consumables"/>
    <s v="Consumables"/>
    <n v="2"/>
    <n v="31000"/>
    <n v="0"/>
    <n v="62000"/>
    <s v="Purchase Order"/>
    <x v="7"/>
    <s v="Completed"/>
  </r>
  <r>
    <s v="TRX-10107"/>
    <d v="2025-11-11T00:00:00"/>
    <s v="November"/>
    <s v="Q4"/>
    <s v="Niger Delta Engineering"/>
    <s v="Engineering"/>
    <s v="Port Harcourt"/>
    <s v="Rivers"/>
    <s v="Hard Hat"/>
    <s v="HSE"/>
    <s v="PPE"/>
    <n v="11"/>
    <n v="18000"/>
    <n v="0"/>
    <n v="198000"/>
    <s v=" Bank Transfer "/>
    <x v="2"/>
    <s v="Completed"/>
  </r>
  <r>
    <s v="TRX-10229"/>
    <d v="2025-01-25T00:00:00"/>
    <s v="January"/>
    <s v="Q1"/>
    <s v="Trans-Amadi Fabrication"/>
    <s v="Engineering"/>
    <s v="Port Harcourt"/>
    <s v="Rivers"/>
    <s v="Submersible Pump"/>
    <s v="Equipment"/>
    <s v="Pump"/>
    <n v="6"/>
    <n v="762000"/>
    <n v="0.02"/>
    <n v="0"/>
    <s v="Purchase Order "/>
    <x v="0"/>
    <s v="Cancelled"/>
  </r>
  <r>
    <s v="TRX-10223"/>
    <d v="2025-06-01T00:00:00"/>
    <s v="June"/>
    <s v="Q2"/>
    <s v="Deepwater Technical Ltd"/>
    <s v="Oil &amp; Gas Services"/>
    <s v="Lagos"/>
    <s v="Lagos"/>
    <s v="Industrial Pump"/>
    <s v="Equipment"/>
    <s v="Pump"/>
    <n v="10"/>
    <n v="380000"/>
    <n v="0.02"/>
    <n v="3724000"/>
    <s v="Po"/>
    <x v="2"/>
    <s v="Completed"/>
  </r>
  <r>
    <s v="TRX-10188"/>
    <d v="2025-07-25T00:00:00"/>
    <s v="July"/>
    <s v="Q3"/>
    <s v="Riverside Drilling Services"/>
    <s v="Oil &amp; Gas Services"/>
    <s v="Port Harcourt"/>
    <s v="Rivers"/>
    <s v="Cable Tray"/>
    <s v="Materials"/>
    <s v="Electrical"/>
    <n v="1"/>
    <n v="98000"/>
    <n v="0.05"/>
    <n v="93100"/>
    <s v="Cash"/>
    <x v="5"/>
    <s v="Done"/>
  </r>
  <r>
    <s v="TRX-10009"/>
    <d v="2025-08-23T00:00:00"/>
    <s v="August"/>
    <s v="Q3"/>
    <s v="Creekside Mechanical"/>
    <s v="Engineering"/>
    <s v="Warri"/>
    <s v="Delta"/>
    <s v="Safety Harness"/>
    <s v="HSE"/>
    <s v="PPE"/>
    <n v="6"/>
    <n v="78000"/>
    <n v="0.02"/>
    <n v="458640"/>
    <s v="Cash"/>
    <x v="3"/>
    <s v="Completed"/>
  </r>
  <r>
    <s v="TRX-10078"/>
    <d v="2025-08-30T00:00:00"/>
    <s v="August"/>
    <s v="Q3"/>
    <s v="Atlantic Well Services"/>
    <s v="Oil &amp; Gas Services"/>
    <s v="Lagos"/>
    <s v="Lagos"/>
    <s v="Equipment Calibration"/>
    <s v="Service"/>
    <s v="Calibration"/>
    <n v="1"/>
    <n v="85000"/>
    <n v="0.05"/>
    <n v="0"/>
    <s v="Bank Transfer"/>
    <x v="3"/>
    <s v="Cancelled"/>
  </r>
  <r>
    <s v="TRX-10230"/>
    <d v="2025-05-12T00:00:00"/>
    <s v="May"/>
    <s v="Q2"/>
    <s v="Unknown"/>
    <s v="Oil &amp; Gas Services"/>
    <s v="Port Harcourt"/>
    <s v="Rivers"/>
    <s v="Hard Hat"/>
    <s v="HSE"/>
    <s v="PPE"/>
    <n v="5"/>
    <n v="19000"/>
    <n v="0.02"/>
    <n v="93100"/>
    <s v="Cash"/>
    <x v="7"/>
    <s v="Completed"/>
  </r>
  <r>
    <s v="TRX-10149"/>
    <d v="2025-06-03T00:00:00"/>
    <s v="June"/>
    <s v="Q2"/>
    <s v="WestPoint Procurement"/>
    <s v="Procurement"/>
    <s v="Lagos"/>
    <s v="Lagos"/>
    <s v="Flow Meter"/>
    <s v="Equipment"/>
    <s v="Instrumentation"/>
    <n v="8"/>
    <n v="277000"/>
    <n v="0"/>
    <n v="2216000"/>
    <s v=""/>
    <x v="5"/>
    <s v="Completed"/>
  </r>
  <r>
    <s v="TRX-10193"/>
    <d v="2025-06-30T00:00:00"/>
    <s v="June"/>
    <s v="Q2"/>
    <s v="Creekside Mechanical"/>
    <s v="Engineering"/>
    <s v="Warri"/>
    <s v="Delta"/>
    <s v="Gas Detector"/>
    <s v="HSE"/>
    <s v="Safety"/>
    <n v="4"/>
    <n v="219000"/>
    <n v="0"/>
    <n v="876000"/>
    <s v="Cash"/>
    <x v="1"/>
    <s v="Completed"/>
  </r>
  <r>
    <s v="TRX-10120"/>
    <d v="2025-02-17T00:00:00"/>
    <s v="February"/>
    <s v="Q1"/>
    <s v="WestPoint Procurement"/>
    <s v="Procurement"/>
    <s v="Lagos"/>
    <s v="Lagos"/>
    <s v="Welding Machine"/>
    <s v="Equipment"/>
    <s v="Fabrication"/>
    <n v="6"/>
    <n v="359000"/>
    <n v="0"/>
    <n v="2154000"/>
    <s v="Bank Transfer"/>
    <x v="0"/>
    <s v="Pending"/>
  </r>
  <r>
    <s v="TRX-10257"/>
    <d v="2025-06-15T00:00:00"/>
    <s v="June"/>
    <s v="Q2"/>
    <s v="Creekside Mechanical"/>
    <s v="Engineering"/>
    <s v="Warri"/>
    <s v="Delta"/>
    <s v="Control Panel"/>
    <s v="Equipment"/>
    <s v="Electrical"/>
    <n v="3"/>
    <n v="589000"/>
    <n v="0.02"/>
    <n v="0"/>
    <s v="Bank Transfer"/>
    <x v="6"/>
    <s v="Cancelled"/>
  </r>
  <r>
    <s v="TRX-10109"/>
    <d v="2025-12-21T00:00:00"/>
    <s v="December"/>
    <s v="Q4"/>
    <s v="Vertex Facilities Ltd"/>
    <s v="Facilities"/>
    <s v="Lagos"/>
    <s v="Lagos"/>
    <s v="Pump Maintenance"/>
    <s v="Service"/>
    <s v="Maintenance"/>
    <n v="5"/>
    <n v="141000"/>
    <n v="0"/>
    <n v="705000"/>
    <s v="Cash"/>
    <x v="7"/>
    <s v="Completed"/>
  </r>
  <r>
    <s v="TRX-10142"/>
    <d v="2025-08-24T00:00:00"/>
    <s v="August"/>
    <s v="Q3"/>
    <s v="Prime Energy Projects"/>
    <s v="Energy"/>
    <s v="Abuja"/>
    <s v="FCT"/>
    <s v="Hard Hat"/>
    <s v="HSE"/>
    <s v="PPE"/>
    <n v="7"/>
    <n v="17000"/>
    <n v="0.05"/>
    <n v="113050"/>
    <s v="Card"/>
    <x v="5"/>
    <s v="Completed"/>
  </r>
  <r>
    <s v="TRX-10089"/>
    <d v="2025-08-13T00:00:00"/>
    <s v="August"/>
    <s v="Q3"/>
    <s v="Bayelsa Industrial Supplies"/>
    <s v="Industrial"/>
    <s v="Yenagoa"/>
    <s v="Bayelsa"/>
    <s v="Hse Inspection"/>
    <s v="Service"/>
    <s v="Inspection"/>
    <n v="11"/>
    <n v="134000"/>
    <n v="0.02"/>
    <n v="0"/>
    <s v="Purchase Order"/>
    <x v="0"/>
    <s v="Cancelled"/>
  </r>
  <r>
    <s v="TRX-10153"/>
    <d v="2025-11-30T00:00:00"/>
    <s v="November"/>
    <s v="Q4"/>
    <s v="Delta Marine Logistics"/>
    <s v="Logistics"/>
    <s v="Warri"/>
    <s v="Delta"/>
    <s v="Generator Service"/>
    <s v="Service"/>
    <s v="Maintenance"/>
    <n v="15"/>
    <n v="165000"/>
    <n v="0"/>
    <n v="2425500"/>
    <s v="Purchase Order"/>
    <x v="3"/>
    <s v="Returned"/>
  </r>
  <r>
    <s v="TRX-10198"/>
    <d v="2025-01-22T00:00:00"/>
    <s v="January"/>
    <s v="Q1"/>
    <s v="Riverside Drilling Services"/>
    <s v="Oil &amp; Gas Services"/>
    <s v="Port Harcourt"/>
    <s v="Rivers"/>
    <s v="Ball Valve"/>
    <s v="Equipment"/>
    <s v="Valve"/>
    <n v="14"/>
    <n v="163000"/>
    <n v="0.02"/>
    <n v="2236360"/>
    <s v="Bank Transfer"/>
    <x v="5"/>
    <s v="Completed"/>
  </r>
  <r>
    <s v="TRX-10045"/>
    <d v="2025-04-17T00:00:00"/>
    <s v="April"/>
    <s v="Q2"/>
    <s v="Eagle Field Solutions"/>
    <s v="Oil &amp; Gas Services"/>
    <s v="Owerri"/>
    <s v="Imo"/>
    <s v="Hse Inspection"/>
    <s v="Service"/>
    <s v="Inspection"/>
    <n v="8"/>
    <n v="114000"/>
    <n v="0.02"/>
    <n v="893760"/>
    <s v="Bank Transfer"/>
    <x v="5"/>
    <s v="Completed"/>
  </r>
  <r>
    <s v="TRX-10170"/>
    <d v="2025-08-02T00:00:00"/>
    <s v="August"/>
    <s v="Q3"/>
    <s v="WestPoint Procurement"/>
    <s v="Procurement"/>
    <s v="Lagos"/>
    <s v="Lagos"/>
    <s v="Generator Service"/>
    <s v="Service"/>
    <s v="Maintenance"/>
    <n v="7"/>
    <n v="187000"/>
    <n v="0.05"/>
    <n v="1243550"/>
    <s v="Bank Transfer"/>
    <x v="6"/>
    <s v="Returned"/>
  </r>
  <r>
    <s v="TRX-10066"/>
    <d v="2025-08-03T00:00:00"/>
    <s v="August"/>
    <s v="Q3"/>
    <s v="SouthSouth Inspection Co"/>
    <s v="Inspection"/>
    <s v="Port Harcourt"/>
    <s v="Rivers"/>
    <s v="Hard Hat"/>
    <s v="HSE"/>
    <s v="PPE"/>
    <n v="12"/>
    <n v="18000"/>
    <n v="0.05"/>
    <n v="205200"/>
    <s v="Purchase Order"/>
    <x v="1"/>
    <s v="Pending"/>
  </r>
  <r>
    <s v="TRX-10061"/>
    <d v="2025-04-11T00:00:00"/>
    <s v="April"/>
    <s v="Q2"/>
    <s v="Deepwater Technical Ltd"/>
    <s v="Oil &amp; Gas Services"/>
    <s v="Lagos"/>
    <s v="Lagos"/>
    <s v="Control Panel"/>
    <s v="Equipment"/>
    <s v="Electrical"/>
    <n v="11"/>
    <n v="512000"/>
    <n v="0"/>
    <n v="0"/>
    <s v="Cash"/>
    <x v="5"/>
    <s v="Cancelled"/>
  </r>
  <r>
    <s v="TRX-10094"/>
    <d v="2025-10-14T00:00:00"/>
    <s v="October"/>
    <s v="Q4"/>
    <s v="Bonny Offshore Support"/>
    <s v="Marine"/>
    <s v="Bonny"/>
    <s v="Rivers"/>
    <s v="Pump Maintenance"/>
    <s v="Service"/>
    <s v="Maintenance"/>
    <n v="11"/>
    <n v="155000"/>
    <n v="0.05"/>
    <n v="1619750"/>
    <s v="Bank Transfer"/>
    <x v="3"/>
    <s v="Pending"/>
  </r>
  <r>
    <s v="TRX-10252"/>
    <d v="2025-09-17T00:00:00"/>
    <s v="September"/>
    <s v="Q3"/>
    <s v="Bayelsa Industrial Supplies"/>
    <s v="Industrial"/>
    <s v="Yenagoa"/>
    <s v="Bayelsa"/>
    <s v="Gas Detector"/>
    <s v="HSE"/>
    <s v="Safety"/>
    <n v="3"/>
    <n v="192000"/>
    <n v="0.1"/>
    <n v="518400"/>
    <s v="Cash"/>
    <x v="4"/>
    <s v="Returned"/>
  </r>
  <r>
    <s v="TRX-10260"/>
    <d v="2025-06-19T00:00:00"/>
    <s v="June"/>
    <s v="Q2"/>
    <s v="SouthSouth Inspection Co"/>
    <s v="Inspection"/>
    <s v="Port Harcourt"/>
    <s v="Rivers"/>
    <s v="Industrial Valve"/>
    <s v="Equipment"/>
    <s v="Valve"/>
    <n v="4"/>
    <n v="217000"/>
    <n v="0"/>
    <n v="868000"/>
    <s v="Purchase Order"/>
    <x v="0"/>
    <s v="Pending"/>
  </r>
  <r>
    <s v="TRX-10210"/>
    <d v="2025-03-22T00:00:00"/>
    <s v="March"/>
    <s v="Q1"/>
    <s v="Bayelsa Industrial Supplies"/>
    <s v="Industrial"/>
    <s v="Yenagoa"/>
    <s v="Bayelsa"/>
    <s v="Safety Harness"/>
    <s v="HSE"/>
    <s v="PPE"/>
    <n v="14"/>
    <n v="69000"/>
    <n v="0.1"/>
    <n v="869400"/>
    <s v="Purchase Order"/>
    <x v="4"/>
    <s v="Completed"/>
  </r>
  <r>
    <s v="TRX-10001"/>
    <d v="2025-11-26T00:00:00"/>
    <s v="November"/>
    <s v="Q4"/>
    <s v="Niger Delta Engineering"/>
    <s v="Engineering"/>
    <s v="Port Harcourt"/>
    <s v="Rivers"/>
    <s v="Industrial Pump"/>
    <s v="Equipment"/>
    <s v="Pump"/>
    <n v="12"/>
    <n v="412000"/>
    <n v="0.02"/>
    <n v="4845120"/>
    <s v="Card"/>
    <x v="2"/>
    <s v="Completed"/>
  </r>
  <r>
    <s v="TRX-10046"/>
    <d v="2025-05-24T00:00:00"/>
    <s v="May"/>
    <s v="Q2"/>
    <s v="Riverside Drilling Services"/>
    <s v="Oil &amp; Gas Services"/>
    <s v="Port Harcourt"/>
    <s v="Rivers"/>
    <s v="Industrial Pump"/>
    <s v="Equipment"/>
    <s v="Pump"/>
    <n v="6"/>
    <n v="445000"/>
    <n v="0"/>
    <n v="2670000"/>
    <s v="Cash"/>
    <x v="2"/>
    <s v="Returned"/>
  </r>
  <r>
    <s v="TRX-10154"/>
    <d v="2025-03-15T00:00:00"/>
    <s v="March"/>
    <s v="Q1"/>
    <s v="Riverside Drilling Services"/>
    <s v="Oil &amp; Gas Services"/>
    <s v="Port Harcourt"/>
    <s v="Rivers"/>
    <s v="Submersible Pump"/>
    <s v="Equipment"/>
    <s v="Pump"/>
    <n v="5"/>
    <n v="688000"/>
    <n v="0.05"/>
    <n v="3268000"/>
    <s v="Bank Transfer"/>
    <x v="1"/>
    <s v="Completed"/>
  </r>
  <r>
    <s v="TRX-10041"/>
    <d v="2025-10-05T00:00:00"/>
    <s v="October"/>
    <s v="Q4"/>
    <s v="Trans-Amadi Fabrication"/>
    <s v="Engineering"/>
    <s v="Port Harcourt"/>
    <s v="Rivers"/>
    <s v="Hse Inspection"/>
    <s v="Service"/>
    <s v="Inspection"/>
    <n v="5"/>
    <n v="110000"/>
    <n v="0"/>
    <n v="550000"/>
    <s v="Bank Transfer"/>
    <x v="1"/>
    <s v="Completed"/>
  </r>
  <r>
    <s v="TRX-10060"/>
    <d v="2025-09-19T00:00:00"/>
    <s v="September"/>
    <s v="Q3"/>
    <s v="Prime Energy Projects"/>
    <s v="Energy"/>
    <s v="Abuja"/>
    <s v="FCT"/>
    <s v="Cable Tray"/>
    <s v="Materials"/>
    <s v="Electrical"/>
    <n v="6"/>
    <n v="92000"/>
    <n v="0.05"/>
    <n v="524400"/>
    <s v="Cash"/>
    <x v="2"/>
    <s v="Returned"/>
  </r>
  <r>
    <s v="TRX-10047"/>
    <d v="2025-08-17T00:00:00"/>
    <s v="August"/>
    <s v="Q3"/>
    <s v="Gulfline Marine Services"/>
    <s v="Marine"/>
    <s v="Warri"/>
    <s v="Delta"/>
    <s v="Cable Tray"/>
    <s v="Materials"/>
    <s v="Electrical"/>
    <n v="9"/>
    <n v="92000"/>
    <n v="0"/>
    <n v="828000"/>
    <s v="Bank Transfer"/>
    <x v="2"/>
    <s v="Completed"/>
  </r>
  <r>
    <s v="TRX-10192"/>
    <d v="2025-04-26T00:00:00"/>
    <s v="April"/>
    <s v="Q2"/>
    <s v="WestPoint Procurement"/>
    <s v="Procurement"/>
    <s v="Lagos"/>
    <s v="Lagos"/>
    <s v="Safety Harness"/>
    <s v="HSE"/>
    <s v="PPE"/>
    <n v="2"/>
    <n v="84000"/>
    <n v="0.1"/>
    <n v="151200"/>
    <s v="Bank Transfer"/>
    <x v="1"/>
    <s v="Returned"/>
  </r>
  <r>
    <s v="TRX-10220"/>
    <d v="2025-01-12T00:00:00"/>
    <s v="January"/>
    <s v="Q1"/>
    <s v="Eagle Field Solutions"/>
    <s v="Oil &amp; Gas Services"/>
    <s v="Owerri"/>
    <s v="Imo"/>
    <s v="Hard Hat"/>
    <s v="HSE"/>
    <s v="PPE"/>
    <n v="14"/>
    <n v="20000"/>
    <n v="0"/>
    <n v="0"/>
    <s v="Purchase Order"/>
    <x v="3"/>
    <s v="Cancelled"/>
  </r>
  <r>
    <s v="TRX-10105"/>
    <d v="2025-03-04T00:00:00"/>
    <s v="March"/>
    <s v="Q1"/>
    <s v="Gulfline Marine Services"/>
    <s v="Marine"/>
    <s v="Warri"/>
    <s v="Delta"/>
    <s v="Cable Tray"/>
    <s v="Materials"/>
    <s v="Electrical"/>
    <n v="10"/>
    <n v="107000"/>
    <n v="0.1"/>
    <n v="0"/>
    <s v="Card"/>
    <x v="5"/>
    <s v="Cancelled"/>
  </r>
  <r>
    <s v="TRX-10134"/>
    <d v="2025-06-25T00:00:00"/>
    <s v="June"/>
    <s v="Q2"/>
    <s v="Vertex Facilities Ltd"/>
    <s v="Facilities"/>
    <s v="Lagos"/>
    <s v="Lagos"/>
    <s v="Control Panel"/>
    <s v="Equipment"/>
    <s v="Electrical"/>
    <n v="11"/>
    <n v="505000"/>
    <n v="0"/>
    <n v="5555000"/>
    <s v="Purchase Order"/>
    <x v="6"/>
    <s v="Done"/>
  </r>
  <r>
    <s v="TRX-10017"/>
    <d v="2025-09-30T00:00:00"/>
    <s v="September"/>
    <s v="Q3"/>
    <s v="Eagle Field Solutions"/>
    <s v="Oil &amp; Gas Services"/>
    <s v="Owerri"/>
    <s v="Imo"/>
    <s v="Equipment Calibration"/>
    <s v="Service"/>
    <s v="Calibration"/>
    <n v="14"/>
    <n v="91000"/>
    <n v="0"/>
    <n v="1274000"/>
    <s v="Transfer"/>
    <x v="7"/>
    <s v="Returned"/>
  </r>
  <r>
    <s v="TRX-10256"/>
    <d v="2025-08-16T00:00:00"/>
    <s v="August"/>
    <s v="Q3"/>
    <s v="Deepwater Technical Ltd"/>
    <s v="Oil &amp; Gas Services"/>
    <s v="Lagos"/>
    <s v="Lagos"/>
    <s v="Pump Maintenance"/>
    <s v="Service"/>
    <s v="Maintenance"/>
    <n v="8"/>
    <n v="155000"/>
    <n v="0"/>
    <n v="1240000"/>
    <s v="Card"/>
    <x v="6"/>
    <s v="Done"/>
  </r>
  <r>
    <s v="TRX-10171"/>
    <d v="2025-08-09T00:00:00"/>
    <s v="August"/>
    <s v="Q3"/>
    <s v="WestPoint Procurement"/>
    <s v="Procurement"/>
    <s v="Lagos"/>
    <s v="Lagos"/>
    <s v="Welding Machine"/>
    <s v="Equipment"/>
    <s v="Fabrication"/>
    <n v="6"/>
    <n v="372000"/>
    <n v="0"/>
    <n v="2232000"/>
    <s v="Purchase Order"/>
    <x v="3"/>
    <s v="Returned"/>
  </r>
  <r>
    <s v="TRX-10250"/>
    <d v="2025-03-28T00:00:00"/>
    <s v="March"/>
    <s v="Q1"/>
    <s v="Bayelsa Industrial Supplies"/>
    <s v="Industrial"/>
    <s v="Yenagoa"/>
    <s v="Bayelsa"/>
    <s v="Industrial Valve"/>
    <s v="Equipment"/>
    <s v="Valve"/>
    <n v="15"/>
    <n v="266000"/>
    <n v="0"/>
    <n v="3990000"/>
    <s v="Cash"/>
    <x v="3"/>
    <s v="Done"/>
  </r>
  <r>
    <s v="TRX-10075"/>
    <d v="2025-10-29T00:00:00"/>
    <s v="October"/>
    <s v="Q4"/>
    <s v="Seplat Energy"/>
    <s v="Energy"/>
    <s v="Port Harcourt"/>
    <s v="Rivers"/>
    <s v="Control Panel"/>
    <s v="Equipment"/>
    <s v="Electrical"/>
    <n v="8"/>
    <n v="557000"/>
    <n v="0"/>
    <n v="4456000"/>
    <s v="Cash"/>
    <x v="5"/>
    <s v="Completed"/>
  </r>
  <r>
    <s v="TRX-10111"/>
    <d v="2025-03-02T00:00:00"/>
    <s v="March"/>
    <s v="Q1"/>
    <s v="Gulfline Marine Services"/>
    <s v="Marine"/>
    <s v="Warri"/>
    <s v="Delta"/>
    <s v="Safety Boots"/>
    <s v="HSE"/>
    <s v="PPE"/>
    <n v="11"/>
    <n v="40000"/>
    <n v="0"/>
    <n v="440000"/>
    <s v="Card"/>
    <x v="3"/>
    <s v="Completed"/>
  </r>
  <r>
    <s v="TRX-10146"/>
    <d v="2025-11-20T00:00:00"/>
    <s v="November"/>
    <s v="Q4"/>
    <s v="Niger Delta Engineering"/>
    <s v="Engineering"/>
    <s v="Port Harcourt"/>
    <s v="Rivers"/>
    <s v="Submersible Pump"/>
    <s v="Equipment"/>
    <s v="Pump"/>
    <n v="5"/>
    <n v="605000"/>
    <n v="0.05"/>
    <n v="2873750"/>
    <s v=""/>
    <x v="2"/>
    <s v="Completed"/>
  </r>
  <r>
    <s v="TRX-10039"/>
    <d v="2025-04-17T00:00:00"/>
    <s v="April"/>
    <s v="Q2"/>
    <s v="WestPoint Procurement"/>
    <s v="Procurement"/>
    <s v="Lagos"/>
    <s v="Lagos"/>
    <s v="Safety Boots"/>
    <s v="HSE"/>
    <s v="PPE"/>
    <n v="5"/>
    <n v="45000"/>
    <n v="0.05"/>
    <n v="213750"/>
    <s v="Cash"/>
    <x v="0"/>
    <s v="Completed"/>
  </r>
  <r>
    <s v="TRX-10028"/>
    <d v="2025-05-07T00:00:00"/>
    <s v="May"/>
    <s v="Q2"/>
    <s v="Orion HSE Solutions"/>
    <s v="HSE"/>
    <s v="Port Harcourt"/>
    <s v="Rivers"/>
    <s v="Cable Tray"/>
    <s v="Materials"/>
    <s v="Electrical"/>
    <n v="4"/>
    <n v="97000"/>
    <n v="0"/>
    <n v="388000"/>
    <s v="Purchase Order "/>
    <x v="6"/>
    <s v="Completed"/>
  </r>
  <r>
    <s v="TRX-10141"/>
    <d v="2025-02-09T00:00:00"/>
    <s v="February"/>
    <s v="Q1"/>
    <s v="Coastal Industrial Works"/>
    <s v="Industrial"/>
    <s v="Uyo"/>
    <s v="Akwa Ibom"/>
    <s v="Ball Valve"/>
    <s v="Equipment"/>
    <s v="Valve"/>
    <n v="10"/>
    <n v="165000"/>
    <n v="0.02"/>
    <n v="1617000"/>
    <s v="Purchase Order"/>
    <x v="7"/>
    <s v="Returned"/>
  </r>
  <r>
    <s v="TRX-10122"/>
    <d v="2025-01-29T00:00:00"/>
    <s v="January"/>
    <s v="Q1"/>
    <s v="Trans-Amadi Fabrication"/>
    <s v="Engineering"/>
    <s v="Port Harcourt"/>
    <s v="Rivers"/>
    <s v="Welding Machine"/>
    <s v="Equipment"/>
    <s v="Fabrication"/>
    <n v="9"/>
    <n v="393000"/>
    <n v="0"/>
    <n v="3537000"/>
    <s v="Purchase Order"/>
    <x v="0"/>
    <s v="Completed"/>
  </r>
  <r>
    <s v="TRX-10088"/>
    <d v="2025-08-06T00:00:00"/>
    <s v="August"/>
    <s v="Q3"/>
    <s v="Orion HSE Solutions"/>
    <s v="HSE"/>
    <s v="Port Harcourt"/>
    <s v="Rivers"/>
    <s v="Flow Meter"/>
    <s v="Equipment"/>
    <s v="Instrumentation"/>
    <n v="7"/>
    <n v="326000"/>
    <n v="0.02"/>
    <n v="2236360"/>
    <s v="Purchase Order"/>
    <x v="2"/>
    <s v="Returned"/>
  </r>
  <r>
    <s v="TRX-10007"/>
    <d v="2025-07-15T00:00:00"/>
    <s v="July"/>
    <s v="Q3"/>
    <s v="Delta Marine Logistics"/>
    <s v="Logistics"/>
    <s v="Warri"/>
    <s v="Delta"/>
    <s v="Equipment Calibration"/>
    <s v="Service"/>
    <s v="Calibration"/>
    <n v="5"/>
    <n v="85000"/>
    <n v="0.1"/>
    <n v="382500"/>
    <s v="Card"/>
    <x v="3"/>
    <s v="Completed"/>
  </r>
  <r>
    <s v="TRX-10185"/>
    <d v="2025-05-11T00:00:00"/>
    <s v="May"/>
    <s v="Q2"/>
    <s v="Riverside Drilling Services"/>
    <s v="Oil &amp; Gas Services"/>
    <s v="Port Harcourt"/>
    <s v="Rivers"/>
    <s v="Industrial Pump"/>
    <s v="Equipment"/>
    <s v="Pump"/>
    <n v="4"/>
    <n v="399000"/>
    <n v="0"/>
    <n v="1564080"/>
    <s v="Card"/>
    <x v="7"/>
    <s v="Completed"/>
  </r>
  <r>
    <s v="TRX-10189"/>
    <d v="2025-10-23T00:00:00"/>
    <s v="October"/>
    <s v="Q4"/>
    <s v="GreenDelta Environmental"/>
    <s v="Environmental"/>
    <s v="Port Harcourt"/>
    <s v="Rivers"/>
    <s v="Cable Tray"/>
    <s v="Materials"/>
    <s v="Electrical"/>
    <n v="5"/>
    <n v="97000"/>
    <n v="0"/>
    <n v="485000"/>
    <s v=" Bank Transfer "/>
    <x v="6"/>
    <s v="Pending"/>
  </r>
  <r>
    <s v="TRX-10191"/>
    <d v="2025-05-07T00:00:00"/>
    <s v="May"/>
    <s v="Q2"/>
    <s v="Deepwater Technical Ltd"/>
    <s v="Oil &amp; Gas Services"/>
    <s v="Lagos"/>
    <s v="Lagos"/>
    <s v="Control Panel"/>
    <s v="Equipment"/>
    <s v="Electrical"/>
    <n v="9"/>
    <n v="471000"/>
    <n v="0"/>
    <n v="4239000"/>
    <s v="Cash"/>
    <x v="6"/>
    <s v="Pending"/>
  </r>
  <r>
    <s v="TRX-10244"/>
    <d v="2025-10-11T00:00:00"/>
    <s v="October"/>
    <s v="Q4"/>
    <s v="Gulfline Marine Services"/>
    <s v="Marine"/>
    <s v="Warri"/>
    <s v="Delta"/>
    <s v="Welding Electrodes"/>
    <s v="Consumables"/>
    <s v="Consumables"/>
    <n v="15"/>
    <n v="27000"/>
    <n v="0.02"/>
    <n v="396900"/>
    <s v="Card"/>
    <x v="6"/>
    <s v="Completed"/>
  </r>
  <r>
    <s v="TRX-10150"/>
    <d v="2025-10-15T00:00:00"/>
    <s v="October"/>
    <s v="Q4"/>
    <s v="Creekside Mechanical"/>
    <s v="Engineering"/>
    <s v="Warri"/>
    <s v="Delta"/>
    <s v="Pressure Gauge"/>
    <s v="Equipment"/>
    <s v="Instrumentation"/>
    <n v="13"/>
    <n v="81000"/>
    <n v="0.05"/>
    <n v="1000350"/>
    <s v="Cash"/>
    <x v="3"/>
    <s v="Completed"/>
  </r>
  <r>
    <s v="TRX-10140"/>
    <d v="2025-08-27T00:00:00"/>
    <s v="August"/>
    <s v="Q3"/>
    <s v="Eagle Field Solutions"/>
    <s v="Oil &amp; Gas Services"/>
    <s v="Owerri"/>
    <s v="Imo"/>
    <s v="Generator Service"/>
    <s v="Service"/>
    <s v="Maintenance"/>
    <n v="5"/>
    <n v="206000"/>
    <n v="0"/>
    <n v="1030000"/>
    <s v=""/>
    <x v="2"/>
    <s v="Pending"/>
  </r>
  <r>
    <s v="TRX-10068"/>
    <d v="2025-01-28T00:00:00"/>
    <s v="January"/>
    <s v="Q1"/>
    <s v="Gulfline Marine Services"/>
    <s v="Marine"/>
    <s v="Warri"/>
    <s v="Delta"/>
    <s v="Safety Boots"/>
    <s v="HSE"/>
    <s v="PPE"/>
    <n v="15"/>
    <n v="46000"/>
    <n v="0"/>
    <n v="690000"/>
    <s v="Card"/>
    <x v="0"/>
    <s v="Pending"/>
  </r>
  <r>
    <s v="TRX-10004"/>
    <d v="2025-04-25T00:00:00"/>
    <s v="April"/>
    <s v="Q2"/>
    <s v="Coastal Industrial Works"/>
    <s v="Industrial"/>
    <s v="Uyo"/>
    <s v="Akwa Ibom"/>
    <s v="Welding Machine"/>
    <s v="Equipment"/>
    <s v="Fabrication"/>
    <n v="13"/>
    <n v="365000"/>
    <n v="0"/>
    <n v="4745000"/>
    <s v="Po"/>
    <x v="6"/>
    <s v="Completed"/>
  </r>
  <r>
    <s v="TRX-10087"/>
    <d v="2025-06-29T00:00:00"/>
    <s v="June"/>
    <s v="Q2"/>
    <s v="Gulfline Marine Services"/>
    <s v="Marine"/>
    <s v="Warri"/>
    <s v="Delta"/>
    <s v="Cable Tray"/>
    <s v="Materials"/>
    <s v="Electrical"/>
    <n v="11"/>
    <n v="102000"/>
    <n v="0.02"/>
    <n v="1099560"/>
    <s v="Cash"/>
    <x v="4"/>
    <s v="Completed"/>
  </r>
  <r>
    <s v="TRX-10178"/>
    <d v="2025-04-05T00:00:00"/>
    <s v="April"/>
    <s v="Q2"/>
    <s v="Eagle Field Solutions"/>
    <s v="Oil &amp; Gas Services"/>
    <s v="Owerri"/>
    <s v="Imo"/>
    <s v="Welding Electrodes"/>
    <s v="Consumables"/>
    <s v="Consumables"/>
    <n v="15"/>
    <n v="28000"/>
    <n v="0.02"/>
    <n v="411600"/>
    <s v="Transfer"/>
    <x v="2"/>
    <s v="Completed"/>
  </r>
  <r>
    <s v="TRX-10203"/>
    <d v="2025-06-25T00:00:00"/>
    <s v="June"/>
    <s v="Q2"/>
    <s v="Vertex Facilities Ltd"/>
    <s v="Facilities"/>
    <s v="Lagos"/>
    <s v="Lagos"/>
    <s v="Submersible Pump"/>
    <s v="Equipment"/>
    <s v="Pump"/>
    <n v="13"/>
    <n v="628000"/>
    <n v="0.02"/>
    <n v="8000720"/>
    <s v="Cash"/>
    <x v="3"/>
    <s v="Completed"/>
  </r>
  <r>
    <s v="TRX-10049"/>
    <d v="2025-01-24T00:00:00"/>
    <s v="January"/>
    <s v="Q1"/>
    <s v="Prime Energy Projects"/>
    <s v="Energy"/>
    <s v="Abuja"/>
    <s v="FCT"/>
    <s v="Ball Valve"/>
    <s v="Equipment"/>
    <s v="Valve"/>
    <n v="15"/>
    <n v="149000"/>
    <n v="0"/>
    <n v="2235000"/>
    <s v="Card"/>
    <x v="1"/>
    <s v="Completed"/>
  </r>
  <r>
    <s v="TRX-10173"/>
    <d v="2025-10-14T00:00:00"/>
    <s v="October"/>
    <s v="Q4"/>
    <s v="Riverside Drilling Services"/>
    <s v="Oil &amp; Gas Services"/>
    <s v="Port Harcourt"/>
    <s v="Rivers"/>
    <s v="Equipment Calibration"/>
    <s v="Service"/>
    <s v="Calibration"/>
    <n v="9"/>
    <n v="97000"/>
    <n v="0.02"/>
    <n v="855540"/>
    <s v=" Bank Transfer "/>
    <x v="5"/>
    <s v="Returned"/>
  </r>
  <r>
    <s v="TRX-10052"/>
    <d v="2025-12-11T00:00:00"/>
    <s v="December"/>
    <s v="Q4"/>
    <s v="Bonny Offshore Support"/>
    <s v="Marine"/>
    <s v="Bonny"/>
    <s v="Rivers"/>
    <s v="Welding Machine"/>
    <s v="Equipment"/>
    <s v="Fabrication"/>
    <n v="3"/>
    <n v="381000"/>
    <n v="0"/>
    <n v="1143000"/>
    <s v="Bank Transfer"/>
    <x v="0"/>
    <s v="Pending"/>
  </r>
  <r>
    <s v="TRX-10002"/>
    <d v="2025-02-24T00:00:00"/>
    <s v="February"/>
    <s v="Q1"/>
    <s v="Gulfline Marine Services"/>
    <s v="Marine"/>
    <s v="Warri"/>
    <s v="Delta"/>
    <s v="Pressure Gauge"/>
    <s v="Equipment"/>
    <s v="Instrumentation"/>
    <n v="10"/>
    <n v="97000"/>
    <n v="0.05"/>
    <n v="921500"/>
    <s v="Transfer"/>
    <x v="3"/>
    <s v="Completed"/>
  </r>
  <r>
    <s v="TRX-10019"/>
    <d v="2025-05-17T00:00:00"/>
    <s v="May"/>
    <s v="Q2"/>
    <s v="Niger Basin Resources"/>
    <s v="Energy"/>
    <s v="Abuja"/>
    <s v="FCT"/>
    <s v="Safety Harness"/>
    <s v="HSE"/>
    <s v="PPE"/>
    <n v="9"/>
    <n v="75000"/>
    <n v="0"/>
    <n v="675000"/>
    <s v="Cash"/>
    <x v="1"/>
    <s v="Returned"/>
  </r>
  <r>
    <s v="TRX-10013"/>
    <d v="2025-12-04T00:00:00"/>
    <s v="December"/>
    <s v="Q4"/>
    <s v="Unknown"/>
    <s v="HSE"/>
    <s v="Port Harcourt"/>
    <s v="Rivers"/>
    <s v="Control Panel"/>
    <s v="Equipment"/>
    <s v="Electrical"/>
    <n v="15"/>
    <n v="574000"/>
    <n v="0.05"/>
    <n v="8179500"/>
    <s v="Cash"/>
    <x v="2"/>
    <s v="Completed"/>
  </r>
  <r>
    <s v="TRX-10050"/>
    <d v="2025-12-10T00:00:00"/>
    <s v="December"/>
    <s v="Q4"/>
    <s v="Niger Delta Engineering"/>
    <s v="Engineering"/>
    <s v="Port Harcourt"/>
    <s v="Rivers"/>
    <s v="Ball Valve"/>
    <s v="Equipment"/>
    <s v="Valve"/>
    <n v="13"/>
    <n v="135000"/>
    <n v="0.1"/>
    <n v="1579500"/>
    <s v=""/>
    <x v="1"/>
    <s v="Pending"/>
  </r>
  <r>
    <s v="TRX-10057"/>
    <d v="2025-06-12T00:00:00"/>
    <s v="June"/>
    <s v="Q2"/>
    <s v="Deepwater Technical Ltd"/>
    <s v="Oil &amp; Gas Services"/>
    <s v="Lagos"/>
    <s v="Lagos"/>
    <s v="Hse Inspection"/>
    <s v="Service"/>
    <s v="Inspection"/>
    <n v="2"/>
    <n v="108000"/>
    <n v="0.05"/>
    <n v="0"/>
    <s v=""/>
    <x v="7"/>
    <s v="Cancelled"/>
  </r>
  <r>
    <s v="TRX-10179"/>
    <d v="2025-03-17T00:00:00"/>
    <s v="March"/>
    <s v="Q1"/>
    <s v="SouthSouth Inspection Co"/>
    <s v="Inspection"/>
    <s v="Port Harcourt"/>
    <s v="Rivers"/>
    <s v="Control Panel"/>
    <s v="Equipment"/>
    <s v="Electrical"/>
    <n v="2"/>
    <n v="589000"/>
    <n v="0"/>
    <n v="1178000"/>
    <s v="Bank Transfer"/>
    <x v="3"/>
    <s v="Returned"/>
  </r>
  <r>
    <s v="TRX-10026"/>
    <d v="2025-01-06T00:00:00"/>
    <s v="January"/>
    <s v="Q1"/>
    <s v="Delta Marine Logistics"/>
    <s v="Logistics"/>
    <s v="Warri"/>
    <s v="Delta"/>
    <s v="Submersible Pump"/>
    <s v="Equipment"/>
    <s v="Pump"/>
    <n v="4"/>
    <n v="743000"/>
    <n v="0"/>
    <n v="2972000"/>
    <s v="Cash"/>
    <x v="3"/>
    <s v="Completed"/>
  </r>
  <r>
    <s v="TRX-10184"/>
    <d v="2025-12-16T00:00:00"/>
    <s v="December"/>
    <s v="Q4"/>
    <s v="SouthSouth Inspection Co"/>
    <s v="Inspection"/>
    <s v="Port Harcourt"/>
    <s v="Rivers"/>
    <s v="Pump Maintenance"/>
    <s v="Service"/>
    <s v="Maintenance"/>
    <n v="9"/>
    <n v="168000"/>
    <n v="0.02"/>
    <n v="1481760"/>
    <s v="Card"/>
    <x v="5"/>
    <s v="Completed"/>
  </r>
  <r>
    <s v="TRX-10102"/>
    <d v="2025-01-09T00:00:00"/>
    <s v="January"/>
    <s v="Q1"/>
    <s v="SouthSouth Inspection Co"/>
    <s v="Inspection"/>
    <s v="Port Harcourt"/>
    <s v="Rivers"/>
    <s v="Welding Electrodes"/>
    <s v="Consumables"/>
    <s v="Consumables"/>
    <n v="8"/>
    <n v="29000"/>
    <n v="0.05"/>
    <n v="220400"/>
    <s v="Cash"/>
    <x v="2"/>
    <s v="Pending"/>
  </r>
  <r>
    <s v="TRX-10187"/>
    <d v="2025-03-10T00:00:00"/>
    <s v="March"/>
    <s v="Q1"/>
    <s v="GreenDelta Environmental"/>
    <s v="Environmental"/>
    <s v="Port Harcourt"/>
    <s v="Rivers"/>
    <s v="Equipment Calibration"/>
    <s v="Service"/>
    <s v="Calibration"/>
    <n v="12"/>
    <n v="105000"/>
    <n v="0"/>
    <n v="0"/>
    <s v="Cash"/>
    <x v="3"/>
    <s v="Cancelled"/>
  </r>
  <r>
    <s v="TRX-10044"/>
    <d v="2025-02-26T00:00:00"/>
    <s v="February"/>
    <s v="Q1"/>
    <s v="Gulfline Marine Services"/>
    <s v="Marine"/>
    <s v="Warri"/>
    <s v="Delta"/>
    <s v="Gas Detector"/>
    <s v="HSE"/>
    <s v="Safety"/>
    <n v="5"/>
    <n v="219000"/>
    <n v="0.02"/>
    <n v="0"/>
    <s v="Card"/>
    <x v="6"/>
    <s v="Cancelled"/>
  </r>
  <r>
    <s v="TRX-10130"/>
    <d v="2025-10-22T00:00:00"/>
    <s v="October"/>
    <s v="Q4"/>
    <s v="GreenDelta Environmental"/>
    <s v="Environmental"/>
    <s v="Port Harcourt"/>
    <s v="Rivers"/>
    <s v="Safety Boots"/>
    <s v="HSE"/>
    <s v="PPE"/>
    <n v="14"/>
    <n v="43000"/>
    <n v="0.05"/>
    <n v="571900"/>
    <s v="Cash"/>
    <x v="0"/>
    <s v="Completed"/>
  </r>
  <r>
    <s v="TRX-10200"/>
    <d v="2025-11-08T00:00:00"/>
    <s v="November"/>
    <s v="Q4"/>
    <s v="Orion HSE Solutions"/>
    <s v="HSE"/>
    <s v="Port Harcourt"/>
    <s v="Rivers"/>
    <s v="Hse Inspection"/>
    <s v="Service"/>
    <s v="Inspection"/>
    <n v="3"/>
    <n v="131000"/>
    <n v="0"/>
    <n v="393000"/>
    <s v="Bank Transfer"/>
    <x v="6"/>
    <s v="Pending"/>
  </r>
  <r>
    <s v="TRX-10183"/>
    <d v="2025-05-22T00:00:00"/>
    <s v="May"/>
    <s v="Q2"/>
    <s v="Trans-Amadi Fabrication"/>
    <s v="Engineering"/>
    <s v="Port Harcourt"/>
    <s v="Rivers"/>
    <s v="Hse Inspection"/>
    <s v="Service"/>
    <s v="Inspection"/>
    <n v="2"/>
    <n v="136000"/>
    <n v="0.02"/>
    <n v="266560"/>
    <s v="Bank Transfer"/>
    <x v="7"/>
    <s v="Pending"/>
  </r>
  <r>
    <s v="TRX-10204"/>
    <d v="2025-10-15T00:00:00"/>
    <s v="October"/>
    <s v="Q4"/>
    <s v="GreenDelta Environmental"/>
    <s v="Environmental"/>
    <s v="Port Harcourt"/>
    <s v="Rivers"/>
    <s v="Welding Electrodes"/>
    <s v="Consumables"/>
    <s v="Consumables"/>
    <n v="5"/>
    <n v="31000"/>
    <n v="0.1"/>
    <n v="139500"/>
    <s v="Cash"/>
    <x v="3"/>
    <s v="Completed"/>
  </r>
  <r>
    <s v="TRX-10104"/>
    <d v="2025-10-25T00:00:00"/>
    <s v="October"/>
    <s v="Q4"/>
    <s v="Riverside Drilling Services"/>
    <s v="Oil &amp; Gas Services"/>
    <s v="Port Harcourt"/>
    <s v="Rivers"/>
    <s v="Gas Detector"/>
    <s v="HSE"/>
    <s v="Safety"/>
    <n v="3"/>
    <n v="198000"/>
    <n v="0.1"/>
    <n v="534600"/>
    <s v=" Bank Transfer "/>
    <x v="1"/>
    <s v="Completed"/>
  </r>
  <r>
    <s v="TRX-10015"/>
    <d v="2025-04-25T00:00:00"/>
    <s v="April"/>
    <s v="Q2"/>
    <s v="Atlantic Well Services"/>
    <s v="Oil &amp; Gas Services"/>
    <s v="Lagos"/>
    <s v="Lagos"/>
    <s v="Hse Inspection"/>
    <s v="Service"/>
    <s v="Inspection"/>
    <n v="8"/>
    <n v="111000"/>
    <n v="0"/>
    <n v="888000"/>
    <s v="Bank Transfer"/>
    <x v="2"/>
    <s v="Completed"/>
  </r>
  <r>
    <s v="TRX-10135"/>
    <d v="2025-11-19T00:00:00"/>
    <s v="November"/>
    <s v="Q4"/>
    <s v="Orion HSE Solutions"/>
    <s v="HSE"/>
    <s v="Port Harcourt"/>
    <s v="Rivers"/>
    <s v="Equipment Calibration"/>
    <s v="Service"/>
    <s v="Calibration"/>
    <n v="1"/>
    <n v="108000"/>
    <n v="0.1"/>
    <n v="97200"/>
    <s v="Card"/>
    <x v="7"/>
    <s v="Completed"/>
  </r>
  <r>
    <s v="TRX-10155"/>
    <d v="2025-10-05T00:00:00"/>
    <s v="October"/>
    <s v="Q4"/>
    <s v="Atlantic Well Services"/>
    <s v="Oil &amp; Gas Services"/>
    <s v="Lagos"/>
    <s v="Lagos"/>
    <s v="Control Panel"/>
    <s v="Equipment"/>
    <s v="Electrical"/>
    <n v="8"/>
    <n v="596000"/>
    <n v="0.02"/>
    <n v="4672640"/>
    <s v="Purchase Order"/>
    <x v="2"/>
    <s v="Returned"/>
  </r>
  <r>
    <s v="TRX-10116"/>
    <d v="2025-10-25T00:00:00"/>
    <s v="October"/>
    <s v="Q4"/>
    <s v="Riverside Drilling Services"/>
    <s v="Oil &amp; Gas Services"/>
    <s v="Port Harcourt"/>
    <s v="Rivers"/>
    <s v="Safety Harness"/>
    <s v="HSE"/>
    <s v="PPE"/>
    <n v="8"/>
    <n v="84000"/>
    <n v="0.1"/>
    <n v="604800"/>
    <s v="Purchase Order"/>
    <x v="7"/>
    <s v="Returned"/>
  </r>
  <r>
    <s v="TRX-10110"/>
    <d v="2025-12-28T00:00:00"/>
    <s v="December"/>
    <s v="Q4"/>
    <s v="Coastal Industrial Works"/>
    <s v="Industrial"/>
    <s v="Uyo"/>
    <s v="Akwa Ibom"/>
    <s v="Pressure Gauge"/>
    <s v="Equipment"/>
    <s v="Instrumentation"/>
    <n v="11"/>
    <n v="77000"/>
    <n v="0"/>
    <n v="847000"/>
    <s v="Card"/>
    <x v="5"/>
    <s v="Completed"/>
  </r>
  <r>
    <s v="TRX-10071"/>
    <d v="2025-11-19T00:00:00"/>
    <s v="November"/>
    <s v="Q4"/>
    <s v="Bonny Offshore Support"/>
    <s v="Marine"/>
    <s v="Bonny"/>
    <s v="Rivers"/>
    <s v="Welding Machine"/>
    <s v="Equipment"/>
    <s v="Fabrication"/>
    <n v="8"/>
    <n v="381000"/>
    <n v="0"/>
    <n v="3048000"/>
    <s v="Cash"/>
    <x v="1"/>
    <s v="Returned"/>
  </r>
  <r>
    <s v="TRX-10247"/>
    <d v="2025-06-10T00:00:00"/>
    <s v="June"/>
    <s v="Q2"/>
    <s v="GreenDelta Environmental"/>
    <s v="Environmental"/>
    <s v="Port Harcourt"/>
    <s v="Rivers"/>
    <s v="Pump Maintenance"/>
    <s v="Service"/>
    <s v="Maintenance"/>
    <n v="9"/>
    <n v="149000"/>
    <n v="0.05"/>
    <n v="1273950"/>
    <s v=" Bank Transfer "/>
    <x v="2"/>
    <s v="Pending"/>
  </r>
  <r>
    <s v="TRX-10159"/>
    <d v="2025-11-27T00:00:00"/>
    <s v="November"/>
    <s v="Q4"/>
    <s v="Vertex Facilities Ltd"/>
    <s v="Facilities"/>
    <s v="Lagos"/>
    <s v="Lagos"/>
    <s v="Industrial Pump"/>
    <s v="Equipment"/>
    <s v="Pump"/>
    <n v="1"/>
    <n v="397000"/>
    <n v="0.02"/>
    <n v="389060"/>
    <s v="Card"/>
    <x v="8"/>
    <s v="Completed"/>
  </r>
  <r>
    <s v="TRX-10241"/>
    <d v="2025-09-25T00:00:00"/>
    <s v="September"/>
    <s v="Q3"/>
    <s v="GreenDelta Environmental"/>
    <s v="Environmental"/>
    <s v="Port Harcourt"/>
    <s v="Rivers"/>
    <s v="Equipment Calibration"/>
    <s v="Service"/>
    <s v="Calibration"/>
    <n v="2"/>
    <n v="108000"/>
    <n v="0.02"/>
    <n v="211680"/>
    <s v="Purchase Order"/>
    <x v="8"/>
    <s v="Completed"/>
  </r>
  <r>
    <s v="TRX-10016"/>
    <d v="2025-11-20T00:00:00"/>
    <s v="November"/>
    <s v="Q4"/>
    <s v="Bayelsa Industrial Supplies"/>
    <s v="Industrial"/>
    <s v="Yenagoa"/>
    <s v="Bayelsa"/>
    <s v="Cable Tray"/>
    <s v="Materials"/>
    <s v="Electrical"/>
    <n v="10"/>
    <n v="88000"/>
    <n v="0"/>
    <n v="880000"/>
    <s v="Po"/>
    <x v="0"/>
    <s v="Pending"/>
  </r>
  <r>
    <s v="TRX-10147"/>
    <d v="2025-02-18T00:00:00"/>
    <s v="February"/>
    <s v="Q1"/>
    <s v="Prime Energy Projects"/>
    <s v="Energy"/>
    <s v="Abuja"/>
    <s v="FCT"/>
    <s v="Industrial Valve"/>
    <s v="Equipment"/>
    <s v="Valve"/>
    <n v="12"/>
    <n v="251000"/>
    <n v="0.05"/>
    <n v="2861400"/>
    <s v="Card"/>
    <x v="2"/>
    <s v="Completed"/>
  </r>
  <r>
    <s v="TRX-10206"/>
    <d v="2025-10-16T00:00:00"/>
    <s v="October"/>
    <s v="Q4"/>
    <s v="Unknown"/>
    <s v="Environmental"/>
    <s v="Port Harcourt"/>
    <s v="Rivers"/>
    <s v="Industrial Valve"/>
    <s v="Equipment"/>
    <s v="Valve"/>
    <n v="0"/>
    <n v="212000"/>
    <n v="0"/>
    <n v="2968000"/>
    <s v="Bank Transfer"/>
    <x v="5"/>
    <s v="Returned"/>
  </r>
  <r>
    <s v="TRX-10023"/>
    <d v="2025-12-06T00:00:00"/>
    <s v="December"/>
    <s v="Q4"/>
    <s v="Orion HSE Solutions"/>
    <s v="HSE"/>
    <s v="Port Harcourt"/>
    <s v="Rivers"/>
    <s v="Equipment Calibration"/>
    <s v="Service"/>
    <s v="Calibration"/>
    <n v="3"/>
    <n v="91000"/>
    <n v="0.02"/>
    <n v="0"/>
    <s v="P.O."/>
    <x v="1"/>
    <s v="Cancelled"/>
  </r>
  <r>
    <s v="TRX-10139"/>
    <d v="2025-04-02T00:00:00"/>
    <s v="April"/>
    <s v="Q2"/>
    <s v="Delta Marine Logistics"/>
    <s v="Logistics"/>
    <s v="Warri"/>
    <s v="Delta"/>
    <s v="Control Panel"/>
    <s v="Equipment"/>
    <s v="Electrical"/>
    <n v="10"/>
    <n v="509000"/>
    <n v="0"/>
    <n v="5090000"/>
    <s v="Card"/>
    <x v="1"/>
    <s v="Pending"/>
  </r>
  <r>
    <s v="TRX-10059"/>
    <d v="2025-08-11T00:00:00"/>
    <s v="August"/>
    <s v="Q3"/>
    <s v="Delta Marine Logistics"/>
    <s v="Logistics"/>
    <s v="Warri"/>
    <s v="Delta"/>
    <s v="Industrial Valve"/>
    <s v="Equipment"/>
    <s v="Valve"/>
    <n v="10"/>
    <n v="214000"/>
    <n v="0.02"/>
    <n v="2097200"/>
    <s v="Bank Transfer"/>
    <x v="7"/>
    <s v="Returned"/>
  </r>
  <r>
    <s v="TRX-10163"/>
    <d v="2025-04-02T00:00:00"/>
    <s v="April"/>
    <s v="Q2"/>
    <s v="Eagle Field Solutions"/>
    <s v="Oil &amp; Gas Services"/>
    <s v="Owerri"/>
    <s v="Imo"/>
    <s v="Submersible Pump"/>
    <s v="Equipment"/>
    <s v="Pump"/>
    <n v="3"/>
    <n v="715000"/>
    <n v="0.05"/>
    <n v="0"/>
    <s v=" Bank Transfer "/>
    <x v="3"/>
    <s v="Cancelled"/>
  </r>
  <r>
    <s v="TRX-10076"/>
    <d v="2025-08-05T00:00:00"/>
    <s v="August"/>
    <s v="Q3"/>
    <s v="Gulfline Marine Services"/>
    <s v="Marine"/>
    <s v="Warri"/>
    <s v="Delta"/>
    <s v="Equipment Calibration"/>
    <s v="Service"/>
    <s v="Calibration"/>
    <n v="13"/>
    <n v="102000"/>
    <n v="0.1"/>
    <n v="1193400"/>
    <s v="P.O."/>
    <x v="1"/>
    <s v="Done"/>
  </r>
  <r>
    <s v="TRX-10065"/>
    <d v="2025-04-14T00:00:00"/>
    <s v="April"/>
    <s v="Q2"/>
    <s v="Atlantic Well Services"/>
    <s v="Oil &amp; Gas Services"/>
    <s v="Lagos"/>
    <s v="Lagos"/>
    <s v="Industrial Pump"/>
    <s v="Equipment"/>
    <s v="Pump"/>
    <n v="1"/>
    <n v="401000"/>
    <n v="0"/>
    <n v="401000"/>
    <s v="Bank Transfer"/>
    <x v="0"/>
    <s v="Pending"/>
  </r>
  <r>
    <s v="TRX-10070"/>
    <d v="2025-03-25T00:00:00"/>
    <s v="March"/>
    <s v="Q1"/>
    <s v="Orion HSE Solutions"/>
    <s v="HSE"/>
    <s v="Port Harcourt"/>
    <s v="Rivers"/>
    <s v="Generator Service"/>
    <s v="Service"/>
    <s v="Maintenance"/>
    <n v="5"/>
    <n v="206000"/>
    <n v="0"/>
    <n v="1030000"/>
    <s v="Cash"/>
    <x v="0"/>
    <s v="Returned"/>
  </r>
  <r>
    <s v="TRX-10132"/>
    <d v="2025-09-17T00:00:00"/>
    <s v="September"/>
    <s v="Q3"/>
    <s v="SouthSouth Inspection Co"/>
    <s v="Inspection"/>
    <s v="Port Harcourt"/>
    <s v="Rivers"/>
    <s v="Industrial Valve"/>
    <s v="Equipment"/>
    <s v="Valve"/>
    <n v="14"/>
    <n v="226000"/>
    <n v="0"/>
    <n v="3164000"/>
    <s v="Bank Transfer"/>
    <x v="0"/>
    <s v="Pending"/>
  </r>
  <r>
    <s v="TRX-10169"/>
    <d v="2025-12-28T00:00:00"/>
    <s v="December"/>
    <s v="Q4"/>
    <s v="Niger Delta Engineering"/>
    <s v="Engineering"/>
    <s v="Port Harcourt"/>
    <s v="Rivers"/>
    <s v="Equipment Calibration"/>
    <s v="Service"/>
    <s v="Calibration"/>
    <n v="12"/>
    <n v="85000"/>
    <n v="0"/>
    <n v="1020000"/>
    <s v="Purchase Order"/>
    <x v="1"/>
    <s v="Pending"/>
  </r>
  <r>
    <s v="TRX-10077"/>
    <d v="2025-05-22T00:00:00"/>
    <s v="May"/>
    <s v="Q2"/>
    <s v="Deepwater Technical Ltd"/>
    <s v="Oil &amp; Gas Services"/>
    <s v="Lagos"/>
    <s v="Lagos"/>
    <s v="Pump Maintenance"/>
    <s v="Service"/>
    <s v="Maintenance"/>
    <n v="1"/>
    <n v="163000"/>
    <n v="0.05"/>
    <n v="154850"/>
    <s v="Purchase Order"/>
    <x v="2"/>
    <s v="Completed"/>
  </r>
  <r>
    <s v="TRX-10093"/>
    <d v="2025-10-14T00:00:00"/>
    <s v="October"/>
    <s v="Q4"/>
    <s v="Seplat Energy"/>
    <s v="Energy"/>
    <s v="Port Harcourt"/>
    <s v="Rivers"/>
    <s v="Hse Inspection"/>
    <s v="Service"/>
    <s v="Inspection"/>
    <n v="4"/>
    <n v="130000"/>
    <n v="0"/>
    <n v="520000"/>
    <s v="Purchase Order"/>
    <x v="0"/>
    <s v="Completed"/>
  </r>
  <r>
    <s v="TRX-10035"/>
    <d v="2025-10-04T00:00:00"/>
    <s v="October"/>
    <s v="Q4"/>
    <s v="Prime Energy Projects"/>
    <s v="Energy"/>
    <s v="Abuja"/>
    <s v="FCT"/>
    <s v="Hard Hat"/>
    <s v="HSE"/>
    <s v="PPE"/>
    <n v="1"/>
    <n v="21000"/>
    <n v="0.1"/>
    <n v="18900"/>
    <s v="Transfer"/>
    <x v="6"/>
    <s v="Returned"/>
  </r>
  <r>
    <s v="TRX-10156"/>
    <d v="2025-08-03T00:00:00"/>
    <s v="August"/>
    <s v="Q3"/>
    <s v="Niger Delta Engineering"/>
    <s v="Engineering"/>
    <s v="Port Harcourt"/>
    <s v="Rivers"/>
    <s v="Pump Maintenance"/>
    <s v="Service"/>
    <s v="Maintenance"/>
    <n v="10"/>
    <n v="142000"/>
    <n v="0.05"/>
    <n v="1349000"/>
    <s v="Transfer"/>
    <x v="6"/>
    <s v="Completed"/>
  </r>
  <r>
    <s v="TRX-10095"/>
    <d v="2025-06-02T00:00:00"/>
    <s v="June"/>
    <s v="Q2"/>
    <s v="Bonny Offshore Support"/>
    <s v="Marine"/>
    <s v="Bonny"/>
    <s v="Rivers"/>
    <s v="Control Panel"/>
    <s v="Equipment"/>
    <s v="Electrical"/>
    <n v="12"/>
    <n v="566000"/>
    <n v="0"/>
    <n v="6792000"/>
    <s v="Cash"/>
    <x v="0"/>
    <s v="Completed"/>
  </r>
  <r>
    <s v="TRX-10214"/>
    <d v="2025-11-08T00:00:00"/>
    <s v="November"/>
    <s v="Q4"/>
    <s v="Atlantic Well Services"/>
    <s v="Oil &amp; Gas Services"/>
    <s v="Lagos"/>
    <s v="Lagos"/>
    <s v="Welding Machine"/>
    <s v="Equipment"/>
    <s v="Fabrication"/>
    <n v="1"/>
    <n v="329000"/>
    <n v="0.05"/>
    <n v="312550"/>
    <s v="Transfer"/>
    <x v="3"/>
    <s v="Completed"/>
  </r>
  <r>
    <s v="TRX-10098"/>
    <d v="2025-03-05T00:00:00"/>
    <s v="March"/>
    <s v="Q1"/>
    <s v="Gulfline Marine Services"/>
    <s v="Marine"/>
    <s v="Warri"/>
    <s v="Delta"/>
    <s v="Safety Harness"/>
    <s v="HSE"/>
    <s v="PPE"/>
    <n v="4"/>
    <n v="75000"/>
    <n v="0"/>
    <n v="300000"/>
    <s v="P.O."/>
    <x v="7"/>
    <s v="Returned"/>
  </r>
  <r>
    <s v="TRX-10103"/>
    <d v="2025-01-29T00:00:00"/>
    <s v="January"/>
    <s v="Q1"/>
    <s v="Eagle Field Solutions"/>
    <s v="Oil &amp; Gas Services"/>
    <s v="Owerri"/>
    <s v="Imo"/>
    <s v="Pump Maintenance"/>
    <s v="Service"/>
    <s v="Maintenance"/>
    <n v="2"/>
    <n v="145000"/>
    <n v="0"/>
    <n v="290000"/>
    <s v="Purchase Order"/>
    <x v="3"/>
    <s v="Pending"/>
  </r>
  <r>
    <s v="TRX-10181"/>
    <d v="2025-06-11T00:00:00"/>
    <s v="June"/>
    <s v="Q2"/>
    <s v="WestPoint Procurement"/>
    <s v="Procurement"/>
    <s v="Lagos"/>
    <s v="Lagos"/>
    <s v="Pressure Gauge"/>
    <s v="Equipment"/>
    <s v="Instrumentation"/>
    <n v="15"/>
    <n v="83000"/>
    <n v="0"/>
    <n v="1245000"/>
    <s v="Card"/>
    <x v="4"/>
    <s v="Completed"/>
  </r>
  <r>
    <s v="TRX-10125"/>
    <d v="2025-06-01T00:00:00"/>
    <s v="June"/>
    <s v="Q2"/>
    <s v="Niger Basin Resources"/>
    <s v="Energy"/>
    <s v="Abuja"/>
    <s v="FCT"/>
    <s v="Welding Machine"/>
    <s v="Equipment"/>
    <s v="Fabrication"/>
    <n v="7"/>
    <n v="330000"/>
    <n v="0.05"/>
    <n v="2194500"/>
    <s v="Card"/>
    <x v="0"/>
    <s v="Pending"/>
  </r>
  <r>
    <s v="TRX-10100"/>
    <d v="2025-04-04T00:00:00"/>
    <s v="April"/>
    <s v="Q2"/>
    <s v="Prime Energy Projects"/>
    <s v="Energy"/>
    <s v="Abuja"/>
    <s v="FCT"/>
    <s v="Industrial Pump"/>
    <s v="Equipment"/>
    <s v="Pump"/>
    <n v="12"/>
    <n v="382000"/>
    <n v="0.1"/>
    <n v="4125600"/>
    <s v="Cash"/>
    <x v="4"/>
    <s v="Completed"/>
  </r>
  <r>
    <s v="TRX-10106"/>
    <d v="2025-08-21T00:00:00"/>
    <s v="August"/>
    <s v="Q3"/>
    <s v="Coastal Industrial Works"/>
    <s v="Industrial"/>
    <s v="Uyo"/>
    <s v="Akwa Ibom"/>
    <s v="Welding Electrodes"/>
    <s v="Consumables"/>
    <s v="Consumables"/>
    <n v="14"/>
    <n v="27000"/>
    <n v="0.1"/>
    <n v="340200"/>
    <s v="Cash"/>
    <x v="4"/>
    <s v="Pending"/>
  </r>
  <r>
    <s v="TRX-10136"/>
    <d v="2025-04-29T00:00:00"/>
    <s v="April"/>
    <s v="Q2"/>
    <s v="Delta Marine Logistics"/>
    <s v="Logistics"/>
    <s v="Warri"/>
    <s v="Delta"/>
    <s v="Cable Tray"/>
    <s v="Materials"/>
    <s v="Electrical"/>
    <n v="2"/>
    <n v="92000"/>
    <n v="0"/>
    <n v="184000"/>
    <s v="Card"/>
    <x v="7"/>
    <s v="Pending"/>
  </r>
  <r>
    <s v="TRX-10177"/>
    <d v="2025-10-17T00:00:00"/>
    <s v="October"/>
    <s v="Q4"/>
    <s v="Vertex Facilities Ltd"/>
    <s v="Facilities"/>
    <s v="Lagos"/>
    <s v="Lagos"/>
    <s v="Equipment Calibration"/>
    <s v="Service"/>
    <s v="Calibration"/>
    <n v="1"/>
    <n v="101000"/>
    <n v="0"/>
    <n v="90900"/>
    <s v="Cash"/>
    <x v="4"/>
    <s v="Returned"/>
  </r>
  <r>
    <s v="TRX-10190"/>
    <d v="2025-03-31T00:00:00"/>
    <s v="March"/>
    <s v="Q1"/>
    <s v="Vertex Facilities Ltd"/>
    <s v="Facilities"/>
    <s v="Lagos"/>
    <s v="Lagos"/>
    <s v="Generator Service"/>
    <s v="Service"/>
    <s v="Maintenance"/>
    <n v="14"/>
    <n v="170000"/>
    <n v="0.02"/>
    <n v="2332400"/>
    <s v="Purchase Order"/>
    <x v="3"/>
    <s v="Completed"/>
  </r>
  <r>
    <s v="TRX-10249"/>
    <d v="2025-10-03T00:00:00"/>
    <s v="October"/>
    <s v="Q4"/>
    <s v="Deepwater Technical Ltd"/>
    <s v="Oil &amp; Gas Services"/>
    <s v="Lagos"/>
    <s v="Lagos"/>
    <s v="Hse Inspection"/>
    <s v="Service"/>
    <s v="Inspection"/>
    <n v="15"/>
    <n v="137000"/>
    <n v="0"/>
    <n v="2055000"/>
    <s v="Card"/>
    <x v="7"/>
    <s v="Completed"/>
  </r>
  <r>
    <s v="TRX-10069"/>
    <d v="2025-12-10T00:00:00"/>
    <s v="December"/>
    <s v="Q4"/>
    <s v="Niger Basin Resources"/>
    <s v="Energy"/>
    <s v="Abuja"/>
    <s v="FCT"/>
    <s v="Equipment Calibration"/>
    <s v="Service"/>
    <s v="Calibration"/>
    <n v="10"/>
    <n v="86000"/>
    <n v="0.02"/>
    <n v="842800"/>
    <s v="Purchase Order"/>
    <x v="0"/>
    <s v="Pending"/>
  </r>
  <r>
    <s v="TRX-10085"/>
    <d v="2025-06-11T00:00:00"/>
    <s v="June"/>
    <s v="Q2"/>
    <s v="Niger Delta Engineering"/>
    <s v="Engineering"/>
    <s v="Port Harcourt"/>
    <s v="Rivers"/>
    <s v="Industrial Pump"/>
    <s v="Equipment"/>
    <s v="Pump"/>
    <n v="15"/>
    <n v="405000"/>
    <n v="0.02"/>
    <n v="0"/>
    <s v="Purchase Order "/>
    <x v="5"/>
    <s v="Cancelled"/>
  </r>
  <r>
    <s v="TRX-10040"/>
    <d v="2025-06-13T00:00:00"/>
    <s v="June"/>
    <s v="Q2"/>
    <s v="Delta Marine Logistics"/>
    <s v="Logistics"/>
    <s v="Warri"/>
    <s v="Delta"/>
    <s v="Industrial Pump"/>
    <s v="Equipment"/>
    <s v="Pump"/>
    <n v="8"/>
    <n v="420000"/>
    <n v="0.1"/>
    <n v="0"/>
    <s v="Bank Transfer"/>
    <x v="3"/>
    <s v="Cancelled"/>
  </r>
  <r>
    <s v="TRX-10003"/>
    <d v="2025-04-24T00:00:00"/>
    <s v="April"/>
    <s v="Q2"/>
    <s v="Bonny Offshore Support"/>
    <s v="Marine"/>
    <s v="Bonny"/>
    <s v="Rivers"/>
    <s v="Hse Inspection"/>
    <s v="Service"/>
    <s v="Inspection"/>
    <n v="10"/>
    <n v="129000"/>
    <n v="0"/>
    <n v="0"/>
    <s v="Card"/>
    <x v="8"/>
    <s v="Cancelled"/>
  </r>
  <r>
    <s v="TRX-10209"/>
    <d v="2025-09-19T00:00:00"/>
    <s v="September"/>
    <s v="Q3"/>
    <s v="Gulfline Marine Services"/>
    <s v="Marine"/>
    <s v="Warri"/>
    <s v="Delta"/>
    <s v="Hse Inspection"/>
    <s v="Service"/>
    <s v="Inspection"/>
    <n v="1"/>
    <n v="106000"/>
    <n v="0.02"/>
    <n v="0"/>
    <s v="Card"/>
    <x v="5"/>
    <s v="Cancelled"/>
  </r>
  <r>
    <s v="TRX-10254"/>
    <d v="2025-11-15T00:00:00"/>
    <s v="November"/>
    <s v="Q4"/>
    <s v="Seplat Energy"/>
    <s v="Energy"/>
    <s v="Port Harcourt"/>
    <s v="Rivers"/>
    <s v="Pump Maintenance"/>
    <s v="Service"/>
    <s v="Maintenance"/>
    <n v="15"/>
    <n v="145000"/>
    <n v="0.1"/>
    <n v="1957500"/>
    <s v="Cash"/>
    <x v="0"/>
    <s v="Completed"/>
  </r>
  <r>
    <s v="TRX-10112"/>
    <d v="2025-02-02T00:00:00"/>
    <s v="February"/>
    <s v="Q1"/>
    <s v="Bayelsa Industrial Supplies"/>
    <s v="Industrial"/>
    <s v="Yenagoa"/>
    <s v="Bayelsa"/>
    <s v="Welding Electrodes"/>
    <s v="Consumables"/>
    <s v="Consumables"/>
    <n v="10"/>
    <n v="26000"/>
    <n v="0.1"/>
    <n v="234000"/>
    <s v="Po"/>
    <x v="3"/>
    <s v="Completed"/>
  </r>
  <r>
    <s v="TRX-10225"/>
    <d v="2025-08-31T00:00:00"/>
    <s v="August"/>
    <s v="Q3"/>
    <s v="Riverside Drilling Services"/>
    <s v="Oil &amp; Gas Services"/>
    <s v="Port Harcourt"/>
    <s v="Rivers"/>
    <s v="Control Panel"/>
    <s v="Equipment"/>
    <s v="Electrical"/>
    <n v="6"/>
    <n v="495000"/>
    <n v="0.02"/>
    <n v="2910600"/>
    <s v="Bank Transfer"/>
    <x v="6"/>
    <s v="Returned"/>
  </r>
  <r>
    <s v="TRX-10074"/>
    <d v="2025-06-21T00:00:00"/>
    <s v="June"/>
    <s v="Q2"/>
    <s v="Gulfline Marine Services"/>
    <s v="Marine"/>
    <s v="Warri"/>
    <s v="Delta"/>
    <s v="Generator Service"/>
    <s v="Service"/>
    <s v="Maintenance"/>
    <n v="7"/>
    <n v="198000"/>
    <n v="0"/>
    <n v="1386000"/>
    <s v="Purchase Order"/>
    <x v="5"/>
    <s v="Completed"/>
  </r>
  <r>
    <s v="TRX-10048"/>
    <d v="2025-10-09T00:00:00"/>
    <s v="October"/>
    <s v="Q4"/>
    <s v="Riverside Drilling Services"/>
    <s v="Oil &amp; Gas Services"/>
    <s v="Port Harcourt"/>
    <s v="Rivers"/>
    <s v="Ball Valve"/>
    <s v="Equipment"/>
    <s v="Valve"/>
    <n v="10"/>
    <n v="148000"/>
    <n v="0.1"/>
    <n v="1332000"/>
    <s v="Purchase Order"/>
    <x v="2"/>
    <s v="Completed"/>
  </r>
  <r>
    <s v="TRX-10127"/>
    <d v="2025-05-24T00:00:00"/>
    <s v="May"/>
    <s v="Q2"/>
    <s v="Unknown"/>
    <s v="Oil &amp; Gas Services"/>
    <s v="Lagos"/>
    <s v="Lagos"/>
    <s v="Industrial Valve"/>
    <s v="Equipment"/>
    <s v="Valve"/>
    <n v="0"/>
    <n v="264000"/>
    <n v="0.1"/>
    <n v="3564000"/>
    <s v="Bank Transfer"/>
    <x v="7"/>
    <s v="Completed"/>
  </r>
  <r>
    <s v="TRX-10114"/>
    <d v="2025-02-13T00:00:00"/>
    <s v="February"/>
    <s v="Q1"/>
    <s v="Vertex Facilities Ltd"/>
    <s v="Facilities"/>
    <s v="Lagos"/>
    <s v="Lagos"/>
    <s v="Submersible Pump"/>
    <s v="Equipment"/>
    <s v="Pump"/>
    <n v="15"/>
    <n v="747000"/>
    <n v="0.05"/>
    <n v="10644750"/>
    <s v="Cash"/>
    <x v="7"/>
    <s v="Returned"/>
  </r>
  <r>
    <s v="TRX-10097"/>
    <d v="2025-05-21T00:00:00"/>
    <s v="May"/>
    <s v="Q2"/>
    <s v="Prime Energy Projects"/>
    <s v="Energy"/>
    <s v="Abuja"/>
    <s v="FCT"/>
    <s v="Welding Machine"/>
    <s v="Equipment"/>
    <s v="Fabrication"/>
    <n v="4"/>
    <n v="357000"/>
    <n v="0"/>
    <n v="1428000"/>
    <s v="Card"/>
    <x v="6"/>
    <s v="Returned"/>
  </r>
  <r>
    <s v="TRX-10226"/>
    <d v="2025-02-06T00:00:00"/>
    <s v="February"/>
    <s v="Q1"/>
    <s v="Creekside Mechanical"/>
    <s v="Engineering"/>
    <s v="Warri"/>
    <s v="Delta"/>
    <s v="Safety Boots"/>
    <s v="HSE"/>
    <s v="PPE"/>
    <n v="12"/>
    <n v="40000"/>
    <n v="0"/>
    <n v="0"/>
    <s v="Cash"/>
    <x v="2"/>
    <s v="Cancelled"/>
  </r>
  <r>
    <s v="TRX-10215"/>
    <d v="2025-05-28T00:00:00"/>
    <s v="May"/>
    <s v="Q2"/>
    <s v="Delta Marine Logistics"/>
    <s v="Logistics"/>
    <s v="Warri"/>
    <s v="Delta"/>
    <s v="Safety Harness"/>
    <s v="HSE"/>
    <s v="PPE"/>
    <n v="5"/>
    <n v="80000"/>
    <n v="0.05"/>
    <n v="0"/>
    <s v="Card"/>
    <x v="5"/>
    <s v="Cancelled"/>
  </r>
  <r>
    <s v="TRX-10058"/>
    <d v="2025-01-25T00:00:00"/>
    <s v="January"/>
    <s v="Q1"/>
    <s v="Deepwater Technical Ltd"/>
    <s v="Oil &amp; Gas Services"/>
    <s v="Lagos"/>
    <s v="Lagos"/>
    <s v="Industrial Pump"/>
    <s v="Equipment"/>
    <s v="Pump"/>
    <n v="9"/>
    <n v="392000"/>
    <n v="0.1"/>
    <n v="3175200"/>
    <s v="Card"/>
    <x v="6"/>
    <s v="Returned"/>
  </r>
  <r>
    <s v="TRX-10124"/>
    <d v="2025-02-19T00:00:00"/>
    <s v="February"/>
    <s v="Q1"/>
    <s v="Bonny Offshore Support"/>
    <s v="Marine"/>
    <s v="Bonny"/>
    <s v="Rivers"/>
    <s v="Flow Meter"/>
    <s v="Equipment"/>
    <s v="Instrumentation"/>
    <n v="8"/>
    <n v="282000"/>
    <n v="0"/>
    <n v="2256000"/>
    <s v="Card"/>
    <x v="0"/>
    <s v="Returned"/>
  </r>
  <r>
    <s v="TRX-10084"/>
    <d v="2025-08-29T00:00:00"/>
    <s v="August"/>
    <s v="Q3"/>
    <s v="Eagle Field Solutions"/>
    <s v="Oil &amp; Gas Services"/>
    <s v="Owerri"/>
    <s v="Imo"/>
    <s v="Ball Valve"/>
    <s v="Equipment"/>
    <s v="Valve"/>
    <n v="3"/>
    <n v="130000"/>
    <n v="0.1"/>
    <n v="0"/>
    <s v="Bank Transfer"/>
    <x v="2"/>
    <s v="Cancelled"/>
  </r>
  <r>
    <s v="TRX-10018"/>
    <d v="2025-11-27T00:00:00"/>
    <s v="November"/>
    <s v="Q4"/>
    <s v="Unknown"/>
    <s v="Procurement"/>
    <s v="Lagos"/>
    <s v="Lagos"/>
    <s v="Flow Meter"/>
    <s v="Equipment"/>
    <s v="Instrumentation"/>
    <n v="0"/>
    <n v="6800000"/>
    <n v="0.05"/>
    <n v="1505750"/>
    <s v="Purchase Order"/>
    <x v="4"/>
    <s v="Completed"/>
  </r>
  <r>
    <s v="TRX-10231"/>
    <d v="2025-07-03T00:00:00"/>
    <s v="July"/>
    <s v="Q3"/>
    <s v="Creekside Mechanical"/>
    <s v="Engineering"/>
    <s v="Warri"/>
    <s v="Delta"/>
    <s v="Cable Tray"/>
    <s v="Materials"/>
    <s v="Electrical"/>
    <n v="15"/>
    <n v="104000"/>
    <n v="0.05"/>
    <n v="1482000"/>
    <s v="Purchase Order"/>
    <x v="5"/>
    <s v="Returned"/>
  </r>
  <r>
    <s v="TRX-10099"/>
    <d v="2025-10-31T00:00:00"/>
    <s v="October"/>
    <s v="Q4"/>
    <s v="Niger Basin Resources"/>
    <s v="Energy"/>
    <s v="Abuja"/>
    <s v="FCT"/>
    <s v="Welding Electrodes"/>
    <s v="Consumables"/>
    <s v="Consumables"/>
    <n v="2"/>
    <n v="25000"/>
    <n v="0"/>
    <n v="50000"/>
    <s v="Card"/>
    <x v="6"/>
    <s v="Completed"/>
  </r>
  <r>
    <m/>
    <m/>
    <m/>
    <m/>
    <m/>
    <m/>
    <m/>
    <m/>
    <m/>
    <m/>
    <m/>
    <m/>
    <m/>
    <m/>
    <m/>
    <m/>
    <x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E0CBB-1452-49A5-A602-95D56375C786}" name="PivotTable1" cacheId="11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>
  <location ref="A3:B16" firstHeaderRow="1" firstDataRow="1" firstDataCol="1"/>
  <pivotFields count="20">
    <pivotField showAll="0"/>
    <pivotField axis="axisRow" numFmtId="14" showAll="0">
      <items count="189">
        <item x="157"/>
        <item x="104"/>
        <item x="159"/>
        <item x="45"/>
        <item x="19"/>
        <item x="80"/>
        <item x="21"/>
        <item x="126"/>
        <item x="153"/>
        <item x="70"/>
        <item x="113"/>
        <item x="14"/>
        <item x="146"/>
        <item x="42"/>
        <item x="93"/>
        <item x="180"/>
        <item x="37"/>
        <item x="64"/>
        <item x="184"/>
        <item x="145"/>
        <item x="18"/>
        <item x="27"/>
        <item x="120"/>
        <item x="32"/>
        <item x="185"/>
        <item x="34"/>
        <item x="101"/>
        <item x="161"/>
        <item x="96"/>
        <item x="143"/>
        <item x="137"/>
        <item x="172"/>
        <item x="41"/>
        <item x="160"/>
        <item x="134"/>
        <item x="36"/>
        <item x="63"/>
        <item x="102"/>
        <item x="25"/>
        <item x="169"/>
        <item x="99"/>
        <item x="141"/>
        <item x="73"/>
        <item x="178"/>
        <item x="40"/>
        <item x="167"/>
        <item x="174"/>
        <item x="72"/>
        <item x="9"/>
        <item x="129"/>
        <item x="28"/>
        <item x="127"/>
        <item x="95"/>
        <item x="151"/>
        <item x="24"/>
        <item x="87"/>
        <item x="176"/>
        <item x="78"/>
        <item x="10"/>
        <item x="38"/>
        <item x="16"/>
        <item x="26"/>
        <item x="1"/>
        <item x="47"/>
        <item x="117"/>
        <item x="55"/>
        <item x="155"/>
        <item x="81"/>
        <item x="2"/>
        <item x="7"/>
        <item x="133"/>
        <item x="68"/>
        <item x="57"/>
        <item x="100"/>
        <item x="61"/>
        <item x="8"/>
        <item x="115"/>
        <item x="171"/>
        <item x="118"/>
        <item x="48"/>
        <item x="6"/>
        <item x="85"/>
        <item x="173"/>
        <item x="54"/>
        <item x="84"/>
        <item x="33"/>
        <item x="121"/>
        <item x="131"/>
        <item x="182"/>
        <item x="111"/>
        <item x="82"/>
        <item x="152"/>
        <item x="119"/>
        <item x="77"/>
        <item x="4"/>
        <item x="79"/>
        <item x="105"/>
        <item x="109"/>
        <item x="112"/>
        <item x="147"/>
        <item x="59"/>
        <item x="62"/>
        <item x="13"/>
        <item x="116"/>
        <item x="11"/>
        <item x="88"/>
        <item x="97"/>
        <item x="0"/>
        <item x="128"/>
        <item x="168"/>
        <item x="22"/>
        <item x="17"/>
        <item x="58"/>
        <item x="140"/>
        <item x="71"/>
        <item x="124"/>
        <item x="66"/>
        <item x="139"/>
        <item x="86"/>
        <item x="175"/>
        <item x="65"/>
        <item x="123"/>
        <item x="20"/>
        <item x="186"/>
        <item x="60"/>
        <item x="181"/>
        <item x="67"/>
        <item x="44"/>
        <item x="46"/>
        <item x="90"/>
        <item x="91"/>
        <item x="130"/>
        <item x="136"/>
        <item x="98"/>
        <item x="83"/>
        <item x="165"/>
        <item x="52"/>
        <item x="138"/>
        <item x="107"/>
        <item x="106"/>
        <item x="170"/>
        <item x="135"/>
        <item x="76"/>
        <item x="183"/>
        <item x="51"/>
        <item x="149"/>
        <item x="5"/>
        <item x="35"/>
        <item x="74"/>
        <item x="150"/>
        <item x="166"/>
        <item x="177"/>
        <item x="69"/>
        <item x="50"/>
        <item x="30"/>
        <item x="148"/>
        <item x="29"/>
        <item x="53"/>
        <item x="75"/>
        <item x="142"/>
        <item x="187"/>
        <item x="103"/>
        <item x="3"/>
        <item x="162"/>
        <item x="31"/>
        <item x="114"/>
        <item x="56"/>
        <item x="92"/>
        <item x="179"/>
        <item x="49"/>
        <item x="163"/>
        <item x="144"/>
        <item x="15"/>
        <item x="132"/>
        <item x="89"/>
        <item x="108"/>
        <item x="125"/>
        <item x="156"/>
        <item x="43"/>
        <item x="12"/>
        <item x="23"/>
        <item x="154"/>
        <item x="39"/>
        <item x="158"/>
        <item x="122"/>
        <item x="94"/>
        <item x="164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65" showAll="0"/>
    <pivotField numFmtId="2" showAll="0"/>
    <pivotField dataField="1" numFmtId="165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9"/>
    <field x="18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Net_Sales_NG" fld="14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5540B-4A12-4AED-88AB-2A2AEAEA997E}" name="PivotTable18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1:D241" firstHeaderRow="0" firstDataRow="1" firstDataCol="1"/>
  <pivotFields count="20">
    <pivotField showAll="0">
      <items count="261">
        <item x="149"/>
        <item x="186"/>
        <item x="242"/>
        <item x="179"/>
        <item x="73"/>
        <item x="36"/>
        <item x="171"/>
        <item x="124"/>
        <item x="129"/>
        <item x="32"/>
        <item x="87"/>
        <item x="90"/>
        <item x="188"/>
        <item x="123"/>
        <item x="202"/>
        <item x="211"/>
        <item x="159"/>
        <item x="257"/>
        <item x="187"/>
        <item x="26"/>
        <item x="19"/>
        <item x="53"/>
        <item x="214"/>
        <item x="82"/>
        <item x="1"/>
        <item x="192"/>
        <item x="89"/>
        <item x="167"/>
        <item x="65"/>
        <item x="11"/>
        <item x="17"/>
        <item x="14"/>
        <item x="49"/>
        <item x="67"/>
        <item x="225"/>
        <item x="99"/>
        <item x="9"/>
        <item x="56"/>
        <item x="166"/>
        <item x="241"/>
        <item x="152"/>
        <item x="118"/>
        <item x="24"/>
        <item x="196"/>
        <item x="141"/>
        <item x="150"/>
        <item x="154"/>
        <item x="248"/>
        <item x="183"/>
        <item x="189"/>
        <item x="106"/>
        <item x="185"/>
        <item x="25"/>
        <item x="46"/>
        <item x="95"/>
        <item x="58"/>
        <item x="190"/>
        <item x="254"/>
        <item x="216"/>
        <item x="153"/>
        <item x="144"/>
        <item x="54"/>
        <item x="92"/>
        <item x="60"/>
        <item x="219"/>
        <item x="143"/>
        <item x="68"/>
        <item x="178"/>
        <item x="239"/>
        <item x="220"/>
        <item x="207"/>
        <item x="2"/>
        <item x="10"/>
        <item x="247"/>
        <item x="163"/>
        <item x="218"/>
        <item x="223"/>
        <item x="130"/>
        <item x="117"/>
        <item x="63"/>
        <item x="23"/>
        <item x="93"/>
        <item x="52"/>
        <item x="256"/>
        <item x="240"/>
        <item x="29"/>
        <item x="180"/>
        <item x="170"/>
        <item x="138"/>
        <item x="71"/>
        <item x="16"/>
        <item x="97"/>
        <item x="224"/>
        <item x="145"/>
        <item x="227"/>
        <item x="37"/>
        <item x="251"/>
        <item x="229"/>
        <item x="259"/>
        <item x="233"/>
        <item x="45"/>
        <item x="194"/>
        <item x="230"/>
        <item x="201"/>
        <item x="157"/>
        <item x="234"/>
        <item x="125"/>
        <item x="40"/>
        <item x="136"/>
        <item x="206"/>
        <item x="164"/>
        <item x="245"/>
        <item x="64"/>
        <item x="250"/>
        <item x="86"/>
        <item x="205"/>
        <item x="78"/>
        <item x="94"/>
        <item x="100"/>
        <item x="134"/>
        <item x="0"/>
        <item x="169"/>
        <item x="43"/>
        <item x="255"/>
        <item x="232"/>
        <item x="5"/>
        <item x="249"/>
        <item x="51"/>
        <item x="121"/>
        <item x="197"/>
        <item x="119"/>
        <item x="221"/>
        <item x="48"/>
        <item x="158"/>
        <item x="203"/>
        <item x="235"/>
        <item x="22"/>
        <item x="77"/>
        <item x="215"/>
        <item x="177"/>
        <item x="168"/>
        <item x="137"/>
        <item x="31"/>
        <item x="111"/>
        <item x="84"/>
        <item x="165"/>
        <item x="212"/>
        <item x="91"/>
        <item x="132"/>
        <item x="176"/>
        <item x="70"/>
        <item x="44"/>
        <item x="139"/>
        <item x="151"/>
        <item x="204"/>
        <item x="226"/>
        <item x="101"/>
        <item x="39"/>
        <item x="209"/>
        <item x="83"/>
        <item x="3"/>
        <item x="102"/>
        <item x="217"/>
        <item x="72"/>
        <item x="98"/>
        <item x="47"/>
        <item x="18"/>
        <item x="21"/>
        <item x="222"/>
        <item x="142"/>
        <item x="161"/>
        <item x="34"/>
        <item x="184"/>
        <item x="4"/>
        <item x="30"/>
        <item x="80"/>
        <item x="236"/>
        <item x="181"/>
        <item x="191"/>
        <item x="116"/>
        <item x="231"/>
        <item x="41"/>
        <item x="199"/>
        <item x="193"/>
        <item x="172"/>
        <item x="8"/>
        <item x="195"/>
        <item x="128"/>
        <item x="173"/>
        <item x="237"/>
        <item x="174"/>
        <item x="155"/>
        <item x="133"/>
        <item x="42"/>
        <item x="75"/>
        <item x="109"/>
        <item x="110"/>
        <item x="140"/>
        <item x="120"/>
        <item x="198"/>
        <item x="28"/>
        <item x="55"/>
        <item x="182"/>
        <item x="200"/>
        <item x="81"/>
        <item x="213"/>
        <item x="105"/>
        <item x="96"/>
        <item x="243"/>
        <item x="148"/>
        <item x="103"/>
        <item x="113"/>
        <item x="20"/>
        <item x="228"/>
        <item x="253"/>
        <item x="33"/>
        <item x="13"/>
        <item x="62"/>
        <item x="107"/>
        <item x="156"/>
        <item x="66"/>
        <item x="69"/>
        <item x="127"/>
        <item x="12"/>
        <item x="246"/>
        <item x="252"/>
        <item x="76"/>
        <item x="15"/>
        <item x="126"/>
        <item x="131"/>
        <item x="258"/>
        <item x="88"/>
        <item x="61"/>
        <item x="108"/>
        <item x="79"/>
        <item x="7"/>
        <item x="38"/>
        <item x="112"/>
        <item x="122"/>
        <item x="57"/>
        <item x="210"/>
        <item x="59"/>
        <item x="74"/>
        <item x="175"/>
        <item x="114"/>
        <item x="85"/>
        <item x="208"/>
        <item x="35"/>
        <item x="238"/>
        <item x="162"/>
        <item x="50"/>
        <item x="146"/>
        <item x="115"/>
        <item x="244"/>
        <item x="27"/>
        <item x="160"/>
        <item x="135"/>
        <item x="6"/>
        <item x="104"/>
        <item x="147"/>
        <item t="default"/>
      </items>
    </pivotField>
    <pivotField numFmtId="14" showAll="0">
      <items count="189">
        <item x="157"/>
        <item x="104"/>
        <item x="159"/>
        <item x="45"/>
        <item x="19"/>
        <item x="80"/>
        <item x="21"/>
        <item x="126"/>
        <item x="153"/>
        <item x="70"/>
        <item x="113"/>
        <item x="14"/>
        <item x="146"/>
        <item x="42"/>
        <item x="93"/>
        <item x="180"/>
        <item x="37"/>
        <item x="64"/>
        <item x="184"/>
        <item x="145"/>
        <item x="18"/>
        <item x="27"/>
        <item x="120"/>
        <item x="32"/>
        <item x="185"/>
        <item x="34"/>
        <item x="101"/>
        <item x="161"/>
        <item x="96"/>
        <item x="143"/>
        <item x="137"/>
        <item x="172"/>
        <item x="41"/>
        <item x="160"/>
        <item x="134"/>
        <item x="36"/>
        <item x="63"/>
        <item x="102"/>
        <item x="25"/>
        <item x="169"/>
        <item x="99"/>
        <item x="141"/>
        <item x="73"/>
        <item x="178"/>
        <item x="40"/>
        <item x="167"/>
        <item x="174"/>
        <item x="72"/>
        <item x="9"/>
        <item x="129"/>
        <item x="28"/>
        <item x="127"/>
        <item x="95"/>
        <item x="151"/>
        <item x="24"/>
        <item x="87"/>
        <item x="176"/>
        <item x="78"/>
        <item x="10"/>
        <item x="38"/>
        <item x="16"/>
        <item x="26"/>
        <item x="1"/>
        <item x="47"/>
        <item x="117"/>
        <item x="55"/>
        <item x="155"/>
        <item x="81"/>
        <item x="2"/>
        <item x="7"/>
        <item x="133"/>
        <item x="68"/>
        <item x="57"/>
        <item x="100"/>
        <item x="61"/>
        <item x="8"/>
        <item x="115"/>
        <item x="171"/>
        <item x="118"/>
        <item x="48"/>
        <item x="6"/>
        <item x="85"/>
        <item x="173"/>
        <item x="54"/>
        <item x="84"/>
        <item x="33"/>
        <item x="121"/>
        <item x="131"/>
        <item x="182"/>
        <item x="111"/>
        <item x="82"/>
        <item x="152"/>
        <item x="119"/>
        <item x="77"/>
        <item x="4"/>
        <item x="79"/>
        <item x="105"/>
        <item x="109"/>
        <item x="112"/>
        <item x="147"/>
        <item x="59"/>
        <item x="62"/>
        <item x="13"/>
        <item x="116"/>
        <item x="11"/>
        <item x="88"/>
        <item x="97"/>
        <item x="0"/>
        <item x="128"/>
        <item x="168"/>
        <item x="22"/>
        <item x="17"/>
        <item x="58"/>
        <item x="140"/>
        <item x="71"/>
        <item x="124"/>
        <item x="66"/>
        <item x="139"/>
        <item x="86"/>
        <item x="175"/>
        <item x="65"/>
        <item x="123"/>
        <item x="20"/>
        <item x="186"/>
        <item x="60"/>
        <item x="181"/>
        <item x="67"/>
        <item x="44"/>
        <item x="46"/>
        <item x="90"/>
        <item x="91"/>
        <item x="130"/>
        <item x="136"/>
        <item x="98"/>
        <item x="83"/>
        <item x="165"/>
        <item x="52"/>
        <item x="138"/>
        <item x="107"/>
        <item x="106"/>
        <item x="170"/>
        <item x="135"/>
        <item x="76"/>
        <item x="183"/>
        <item x="51"/>
        <item x="149"/>
        <item x="5"/>
        <item x="35"/>
        <item x="74"/>
        <item x="150"/>
        <item x="166"/>
        <item x="177"/>
        <item x="69"/>
        <item x="50"/>
        <item x="30"/>
        <item x="148"/>
        <item x="29"/>
        <item x="53"/>
        <item x="75"/>
        <item x="142"/>
        <item x="187"/>
        <item x="103"/>
        <item x="3"/>
        <item x="162"/>
        <item x="31"/>
        <item x="114"/>
        <item x="56"/>
        <item x="92"/>
        <item x="179"/>
        <item x="49"/>
        <item x="163"/>
        <item x="144"/>
        <item x="15"/>
        <item x="132"/>
        <item x="89"/>
        <item x="108"/>
        <item x="125"/>
        <item x="156"/>
        <item x="43"/>
        <item x="12"/>
        <item x="23"/>
        <item x="154"/>
        <item x="39"/>
        <item x="158"/>
        <item x="122"/>
        <item x="94"/>
        <item x="164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>
      <items count="18">
        <item x="16"/>
        <item x="7"/>
        <item x="9"/>
        <item x="12"/>
        <item x="5"/>
        <item x="4"/>
        <item x="1"/>
        <item x="13"/>
        <item x="10"/>
        <item x="0"/>
        <item x="15"/>
        <item x="6"/>
        <item x="8"/>
        <item x="11"/>
        <item x="3"/>
        <item x="2"/>
        <item x="14"/>
        <item t="default"/>
      </items>
    </pivotField>
    <pivotField numFmtId="165" showAll="0"/>
    <pivotField numFmtId="2" showAll="0"/>
    <pivotField dataField="1" numFmtId="165" showAll="0"/>
    <pivotField dataField="1" showAll="0"/>
    <pivotField axis="axisRow" showAll="0">
      <items count="10">
        <item x="4"/>
        <item x="5"/>
        <item x="7"/>
        <item x="6"/>
        <item x="3"/>
        <item x="2"/>
        <item x="1"/>
        <item x="8"/>
        <item x="0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1" baseField="0" baseItem="0" numFmtId="2"/>
    <dataField name="Sum of Net_Sales_NG" fld="14" baseField="0" baseItem="0" numFmtId="165"/>
    <dataField name="Count of Payment_Method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211CF-4563-439C-BA41-9B4F3977CFA4}" name="PivotTable17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4:B227" firstHeaderRow="1" firstDataRow="1" firstDataCol="1"/>
  <pivotFields count="20">
    <pivotField showAll="0"/>
    <pivotField numFmtId="14" showAll="0">
      <items count="189">
        <item x="157"/>
        <item x="104"/>
        <item x="159"/>
        <item x="45"/>
        <item x="19"/>
        <item x="80"/>
        <item x="21"/>
        <item x="126"/>
        <item x="153"/>
        <item x="70"/>
        <item x="113"/>
        <item x="14"/>
        <item x="146"/>
        <item x="42"/>
        <item x="93"/>
        <item x="180"/>
        <item x="37"/>
        <item x="64"/>
        <item x="184"/>
        <item x="145"/>
        <item x="18"/>
        <item x="27"/>
        <item x="120"/>
        <item x="32"/>
        <item x="185"/>
        <item x="34"/>
        <item x="101"/>
        <item x="161"/>
        <item x="96"/>
        <item x="143"/>
        <item x="137"/>
        <item x="172"/>
        <item x="41"/>
        <item x="160"/>
        <item x="134"/>
        <item x="36"/>
        <item x="63"/>
        <item x="102"/>
        <item x="25"/>
        <item x="169"/>
        <item x="99"/>
        <item x="141"/>
        <item x="73"/>
        <item x="178"/>
        <item x="40"/>
        <item x="167"/>
        <item x="174"/>
        <item x="72"/>
        <item x="9"/>
        <item x="129"/>
        <item x="28"/>
        <item x="127"/>
        <item x="95"/>
        <item x="151"/>
        <item x="24"/>
        <item x="87"/>
        <item x="176"/>
        <item x="78"/>
        <item x="10"/>
        <item x="38"/>
        <item x="16"/>
        <item x="26"/>
        <item x="1"/>
        <item x="47"/>
        <item x="117"/>
        <item x="55"/>
        <item x="155"/>
        <item x="81"/>
        <item x="2"/>
        <item x="7"/>
        <item x="133"/>
        <item x="68"/>
        <item x="57"/>
        <item x="100"/>
        <item x="61"/>
        <item x="8"/>
        <item x="115"/>
        <item x="171"/>
        <item x="118"/>
        <item x="48"/>
        <item x="6"/>
        <item x="85"/>
        <item x="173"/>
        <item x="54"/>
        <item x="84"/>
        <item x="33"/>
        <item x="121"/>
        <item x="131"/>
        <item x="182"/>
        <item x="111"/>
        <item x="82"/>
        <item x="152"/>
        <item x="119"/>
        <item x="77"/>
        <item x="4"/>
        <item x="79"/>
        <item x="105"/>
        <item x="109"/>
        <item x="112"/>
        <item x="147"/>
        <item x="59"/>
        <item x="62"/>
        <item x="13"/>
        <item x="116"/>
        <item x="11"/>
        <item x="88"/>
        <item x="97"/>
        <item x="0"/>
        <item x="128"/>
        <item x="168"/>
        <item x="22"/>
        <item x="17"/>
        <item x="58"/>
        <item x="140"/>
        <item x="71"/>
        <item x="124"/>
        <item x="66"/>
        <item x="139"/>
        <item x="86"/>
        <item x="175"/>
        <item x="65"/>
        <item x="123"/>
        <item x="20"/>
        <item x="186"/>
        <item x="60"/>
        <item x="181"/>
        <item x="67"/>
        <item x="44"/>
        <item x="46"/>
        <item x="90"/>
        <item x="91"/>
        <item x="130"/>
        <item x="136"/>
        <item x="98"/>
        <item x="83"/>
        <item x="165"/>
        <item x="52"/>
        <item x="138"/>
        <item x="107"/>
        <item x="106"/>
        <item x="170"/>
        <item x="135"/>
        <item x="76"/>
        <item x="183"/>
        <item x="51"/>
        <item x="149"/>
        <item x="5"/>
        <item x="35"/>
        <item x="74"/>
        <item x="150"/>
        <item x="166"/>
        <item x="177"/>
        <item x="69"/>
        <item x="50"/>
        <item x="30"/>
        <item x="148"/>
        <item x="29"/>
        <item x="53"/>
        <item x="75"/>
        <item x="142"/>
        <item x="187"/>
        <item x="103"/>
        <item x="3"/>
        <item x="162"/>
        <item x="31"/>
        <item x="114"/>
        <item x="56"/>
        <item x="92"/>
        <item x="179"/>
        <item x="49"/>
        <item x="163"/>
        <item x="144"/>
        <item x="15"/>
        <item x="132"/>
        <item x="89"/>
        <item x="108"/>
        <item x="125"/>
        <item x="156"/>
        <item x="43"/>
        <item x="12"/>
        <item x="23"/>
        <item x="154"/>
        <item x="39"/>
        <item x="158"/>
        <item x="122"/>
        <item x="94"/>
        <item x="164"/>
        <item x="110"/>
        <item t="default"/>
      </items>
    </pivotField>
    <pivotField axis="axisRow" showAll="0">
      <items count="13">
        <item x="8"/>
        <item x="9"/>
        <item x="10"/>
        <item x="6"/>
        <item x="1"/>
        <item x="5"/>
        <item x="3"/>
        <item x="0"/>
        <item x="1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3"/>
        <item x="1"/>
        <item x="0"/>
        <item x="4"/>
        <item x="2"/>
        <item t="default"/>
      </items>
    </pivotField>
    <pivotField showAll="0"/>
    <pivotField numFmtId="2" showAll="0"/>
    <pivotField numFmtId="165" showAll="0"/>
    <pivotField numFmtId="2" showAll="0"/>
    <pivotField dataField="1" numFmtId="165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_Sales_NG" fld="1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58B2A-0A03-4977-9216-6EE5FE0F16C9}" name="PivotTable16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3:B211" firstHeaderRow="1" firstDataRow="1" firstDataCol="1"/>
  <pivotFields count="20">
    <pivotField showAll="0"/>
    <pivotField numFmtId="14" showAll="0">
      <items count="189">
        <item x="157"/>
        <item x="104"/>
        <item x="159"/>
        <item x="45"/>
        <item x="19"/>
        <item x="80"/>
        <item x="21"/>
        <item x="126"/>
        <item x="153"/>
        <item x="70"/>
        <item x="113"/>
        <item x="14"/>
        <item x="146"/>
        <item x="42"/>
        <item x="93"/>
        <item x="180"/>
        <item x="37"/>
        <item x="64"/>
        <item x="184"/>
        <item x="145"/>
        <item x="18"/>
        <item x="27"/>
        <item x="120"/>
        <item x="32"/>
        <item x="185"/>
        <item x="34"/>
        <item x="101"/>
        <item x="161"/>
        <item x="96"/>
        <item x="143"/>
        <item x="137"/>
        <item x="172"/>
        <item x="41"/>
        <item x="160"/>
        <item x="134"/>
        <item x="36"/>
        <item x="63"/>
        <item x="102"/>
        <item x="25"/>
        <item x="169"/>
        <item x="99"/>
        <item x="141"/>
        <item x="73"/>
        <item x="178"/>
        <item x="40"/>
        <item x="167"/>
        <item x="174"/>
        <item x="72"/>
        <item x="9"/>
        <item x="129"/>
        <item x="28"/>
        <item x="127"/>
        <item x="95"/>
        <item x="151"/>
        <item x="24"/>
        <item x="87"/>
        <item x="176"/>
        <item x="78"/>
        <item x="10"/>
        <item x="38"/>
        <item x="16"/>
        <item x="26"/>
        <item x="1"/>
        <item x="47"/>
        <item x="117"/>
        <item x="55"/>
        <item x="155"/>
        <item x="81"/>
        <item x="2"/>
        <item x="7"/>
        <item x="133"/>
        <item x="68"/>
        <item x="57"/>
        <item x="100"/>
        <item x="61"/>
        <item x="8"/>
        <item x="115"/>
        <item x="171"/>
        <item x="118"/>
        <item x="48"/>
        <item x="6"/>
        <item x="85"/>
        <item x="173"/>
        <item x="54"/>
        <item x="84"/>
        <item x="33"/>
        <item x="121"/>
        <item x="131"/>
        <item x="182"/>
        <item x="111"/>
        <item x="82"/>
        <item x="152"/>
        <item x="119"/>
        <item x="77"/>
        <item x="4"/>
        <item x="79"/>
        <item x="105"/>
        <item x="109"/>
        <item x="112"/>
        <item x="147"/>
        <item x="59"/>
        <item x="62"/>
        <item x="13"/>
        <item x="116"/>
        <item x="11"/>
        <item x="88"/>
        <item x="97"/>
        <item x="0"/>
        <item x="128"/>
        <item x="168"/>
        <item x="22"/>
        <item x="17"/>
        <item x="58"/>
        <item x="140"/>
        <item x="71"/>
        <item x="124"/>
        <item x="66"/>
        <item x="139"/>
        <item x="86"/>
        <item x="175"/>
        <item x="65"/>
        <item x="123"/>
        <item x="20"/>
        <item x="186"/>
        <item x="60"/>
        <item x="181"/>
        <item x="67"/>
        <item x="44"/>
        <item x="46"/>
        <item x="90"/>
        <item x="91"/>
        <item x="130"/>
        <item x="136"/>
        <item x="98"/>
        <item x="83"/>
        <item x="165"/>
        <item x="52"/>
        <item x="138"/>
        <item x="107"/>
        <item x="106"/>
        <item x="170"/>
        <item x="135"/>
        <item x="76"/>
        <item x="183"/>
        <item x="51"/>
        <item x="149"/>
        <item x="5"/>
        <item x="35"/>
        <item x="74"/>
        <item x="150"/>
        <item x="166"/>
        <item x="177"/>
        <item x="69"/>
        <item x="50"/>
        <item x="30"/>
        <item x="148"/>
        <item x="29"/>
        <item x="53"/>
        <item x="75"/>
        <item x="142"/>
        <item x="187"/>
        <item x="103"/>
        <item x="3"/>
        <item x="162"/>
        <item x="31"/>
        <item x="114"/>
        <item x="56"/>
        <item x="92"/>
        <item x="179"/>
        <item x="49"/>
        <item x="163"/>
        <item x="144"/>
        <item x="15"/>
        <item x="132"/>
        <item x="89"/>
        <item x="108"/>
        <item x="125"/>
        <item x="156"/>
        <item x="43"/>
        <item x="12"/>
        <item x="23"/>
        <item x="154"/>
        <item x="39"/>
        <item x="158"/>
        <item x="122"/>
        <item x="94"/>
        <item x="164"/>
        <item x="110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8">
        <item x="0"/>
        <item x="1"/>
        <item x="6"/>
        <item x="4"/>
        <item x="3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" showAll="0"/>
    <pivotField numFmtId="165" showAll="0"/>
    <pivotField numFmtId="2" showAll="0"/>
    <pivotField dataField="1" numFmtId="165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8">
    <i>
      <x/>
    </i>
    <i>
      <x v="1"/>
    </i>
    <i>
      <x v="4"/>
    </i>
    <i>
      <x v="3"/>
    </i>
    <i>
      <x v="6"/>
    </i>
    <i>
      <x v="5"/>
    </i>
    <i>
      <x v="2"/>
    </i>
    <i t="grand">
      <x/>
    </i>
  </rowItems>
  <colItems count="1">
    <i/>
  </colItems>
  <dataFields count="1">
    <dataField name="Sum of Net_Sales_NG" fld="1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F6184-152D-4D3C-8C4F-E8054F8EC0F3}" name="PivotTable15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2:B201" firstHeaderRow="1" firstDataRow="1" firstDataCol="1"/>
  <pivotFields count="20">
    <pivotField showAll="0"/>
    <pivotField numFmtId="14" showAll="0">
      <items count="189">
        <item x="157"/>
        <item x="104"/>
        <item x="159"/>
        <item x="45"/>
        <item x="19"/>
        <item x="80"/>
        <item x="21"/>
        <item x="126"/>
        <item x="153"/>
        <item x="70"/>
        <item x="113"/>
        <item x="14"/>
        <item x="146"/>
        <item x="42"/>
        <item x="93"/>
        <item x="180"/>
        <item x="37"/>
        <item x="64"/>
        <item x="184"/>
        <item x="145"/>
        <item x="18"/>
        <item x="27"/>
        <item x="120"/>
        <item x="32"/>
        <item x="185"/>
        <item x="34"/>
        <item x="101"/>
        <item x="161"/>
        <item x="96"/>
        <item x="143"/>
        <item x="137"/>
        <item x="172"/>
        <item x="41"/>
        <item x="160"/>
        <item x="134"/>
        <item x="36"/>
        <item x="63"/>
        <item x="102"/>
        <item x="25"/>
        <item x="169"/>
        <item x="99"/>
        <item x="141"/>
        <item x="73"/>
        <item x="178"/>
        <item x="40"/>
        <item x="167"/>
        <item x="174"/>
        <item x="72"/>
        <item x="9"/>
        <item x="129"/>
        <item x="28"/>
        <item x="127"/>
        <item x="95"/>
        <item x="151"/>
        <item x="24"/>
        <item x="87"/>
        <item x="176"/>
        <item x="78"/>
        <item x="10"/>
        <item x="38"/>
        <item x="16"/>
        <item x="26"/>
        <item x="1"/>
        <item x="47"/>
        <item x="117"/>
        <item x="55"/>
        <item x="155"/>
        <item x="81"/>
        <item x="2"/>
        <item x="7"/>
        <item x="133"/>
        <item x="68"/>
        <item x="57"/>
        <item x="100"/>
        <item x="61"/>
        <item x="8"/>
        <item x="115"/>
        <item x="171"/>
        <item x="118"/>
        <item x="48"/>
        <item x="6"/>
        <item x="85"/>
        <item x="173"/>
        <item x="54"/>
        <item x="84"/>
        <item x="33"/>
        <item x="121"/>
        <item x="131"/>
        <item x="182"/>
        <item x="111"/>
        <item x="82"/>
        <item x="152"/>
        <item x="119"/>
        <item x="77"/>
        <item x="4"/>
        <item x="79"/>
        <item x="105"/>
        <item x="109"/>
        <item x="112"/>
        <item x="147"/>
        <item x="59"/>
        <item x="62"/>
        <item x="13"/>
        <item x="116"/>
        <item x="11"/>
        <item x="88"/>
        <item x="97"/>
        <item x="0"/>
        <item x="128"/>
        <item x="168"/>
        <item x="22"/>
        <item x="17"/>
        <item x="58"/>
        <item x="140"/>
        <item x="71"/>
        <item x="124"/>
        <item x="66"/>
        <item x="139"/>
        <item x="86"/>
        <item x="175"/>
        <item x="65"/>
        <item x="123"/>
        <item x="20"/>
        <item x="186"/>
        <item x="60"/>
        <item x="181"/>
        <item x="67"/>
        <item x="44"/>
        <item x="46"/>
        <item x="90"/>
        <item x="91"/>
        <item x="130"/>
        <item x="136"/>
        <item x="98"/>
        <item x="83"/>
        <item x="165"/>
        <item x="52"/>
        <item x="138"/>
        <item x="107"/>
        <item x="106"/>
        <item x="170"/>
        <item x="135"/>
        <item x="76"/>
        <item x="183"/>
        <item x="51"/>
        <item x="149"/>
        <item x="5"/>
        <item x="35"/>
        <item x="74"/>
        <item x="150"/>
        <item x="166"/>
        <item x="177"/>
        <item x="69"/>
        <item x="50"/>
        <item x="30"/>
        <item x="148"/>
        <item x="29"/>
        <item x="53"/>
        <item x="75"/>
        <item x="142"/>
        <item x="187"/>
        <item x="103"/>
        <item x="3"/>
        <item x="162"/>
        <item x="31"/>
        <item x="114"/>
        <item x="56"/>
        <item x="92"/>
        <item x="179"/>
        <item x="49"/>
        <item x="163"/>
        <item x="144"/>
        <item x="15"/>
        <item x="132"/>
        <item x="89"/>
        <item x="108"/>
        <item x="125"/>
        <item x="156"/>
        <item x="43"/>
        <item x="12"/>
        <item x="23"/>
        <item x="154"/>
        <item x="39"/>
        <item x="158"/>
        <item x="122"/>
        <item x="94"/>
        <item x="164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9">
        <item x="9"/>
        <item x="17"/>
        <item x="5"/>
        <item x="15"/>
        <item x="6"/>
        <item x="7"/>
        <item x="12"/>
        <item x="0"/>
        <item x="8"/>
        <item x="10"/>
        <item x="2"/>
        <item x="1"/>
        <item x="16"/>
        <item x="14"/>
        <item x="13"/>
        <item x="4"/>
        <item x="11"/>
        <item x="3"/>
        <item t="default"/>
      </items>
    </pivotField>
    <pivotField showAll="0"/>
    <pivotField showAll="0"/>
    <pivotField numFmtId="2" showAll="0"/>
    <pivotField dataField="1" numFmtId="165" showAll="0"/>
    <pivotField numFmtId="2" showAll="0"/>
    <pivotField numFmtId="165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Average of Unit_Price_NG" fld="12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263B2-B0D3-45AE-92E8-3C5509D6EA4D}" name="PivotTable14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7:B179" firstHeaderRow="1" firstDataRow="1" firstDataCol="1"/>
  <pivotFields count="20">
    <pivotField dataField="1" showAll="0"/>
    <pivotField numFmtId="14" showAll="0">
      <items count="189">
        <item x="157"/>
        <item x="104"/>
        <item x="159"/>
        <item x="45"/>
        <item x="19"/>
        <item x="80"/>
        <item x="21"/>
        <item x="126"/>
        <item x="153"/>
        <item x="70"/>
        <item x="113"/>
        <item x="14"/>
        <item x="146"/>
        <item x="42"/>
        <item x="93"/>
        <item x="180"/>
        <item x="37"/>
        <item x="64"/>
        <item x="184"/>
        <item x="145"/>
        <item x="18"/>
        <item x="27"/>
        <item x="120"/>
        <item x="32"/>
        <item x="185"/>
        <item x="34"/>
        <item x="101"/>
        <item x="161"/>
        <item x="96"/>
        <item x="143"/>
        <item x="137"/>
        <item x="172"/>
        <item x="41"/>
        <item x="160"/>
        <item x="134"/>
        <item x="36"/>
        <item x="63"/>
        <item x="102"/>
        <item x="25"/>
        <item x="169"/>
        <item x="99"/>
        <item x="141"/>
        <item x="73"/>
        <item x="178"/>
        <item x="40"/>
        <item x="167"/>
        <item x="174"/>
        <item x="72"/>
        <item x="9"/>
        <item x="129"/>
        <item x="28"/>
        <item x="127"/>
        <item x="95"/>
        <item x="151"/>
        <item x="24"/>
        <item x="87"/>
        <item x="176"/>
        <item x="78"/>
        <item x="10"/>
        <item x="38"/>
        <item x="16"/>
        <item x="26"/>
        <item x="1"/>
        <item x="47"/>
        <item x="117"/>
        <item x="55"/>
        <item x="155"/>
        <item x="81"/>
        <item x="2"/>
        <item x="7"/>
        <item x="133"/>
        <item x="68"/>
        <item x="57"/>
        <item x="100"/>
        <item x="61"/>
        <item x="8"/>
        <item x="115"/>
        <item x="171"/>
        <item x="118"/>
        <item x="48"/>
        <item x="6"/>
        <item x="85"/>
        <item x="173"/>
        <item x="54"/>
        <item x="84"/>
        <item x="33"/>
        <item x="121"/>
        <item x="131"/>
        <item x="182"/>
        <item x="111"/>
        <item x="82"/>
        <item x="152"/>
        <item x="119"/>
        <item x="77"/>
        <item x="4"/>
        <item x="79"/>
        <item x="105"/>
        <item x="109"/>
        <item x="112"/>
        <item x="147"/>
        <item x="59"/>
        <item x="62"/>
        <item x="13"/>
        <item x="116"/>
        <item x="11"/>
        <item x="88"/>
        <item x="97"/>
        <item x="0"/>
        <item x="128"/>
        <item x="168"/>
        <item x="22"/>
        <item x="17"/>
        <item x="58"/>
        <item x="140"/>
        <item x="71"/>
        <item x="124"/>
        <item x="66"/>
        <item x="139"/>
        <item x="86"/>
        <item x="175"/>
        <item x="65"/>
        <item x="123"/>
        <item x="20"/>
        <item x="186"/>
        <item x="60"/>
        <item x="181"/>
        <item x="67"/>
        <item x="44"/>
        <item x="46"/>
        <item x="90"/>
        <item x="91"/>
        <item x="130"/>
        <item x="136"/>
        <item x="98"/>
        <item x="83"/>
        <item x="165"/>
        <item x="52"/>
        <item x="138"/>
        <item x="107"/>
        <item x="106"/>
        <item x="170"/>
        <item x="135"/>
        <item x="76"/>
        <item x="183"/>
        <item x="51"/>
        <item x="149"/>
        <item x="5"/>
        <item x="35"/>
        <item x="74"/>
        <item x="150"/>
        <item x="166"/>
        <item x="177"/>
        <item x="69"/>
        <item x="50"/>
        <item x="30"/>
        <item x="148"/>
        <item x="29"/>
        <item x="53"/>
        <item x="75"/>
        <item x="142"/>
        <item x="187"/>
        <item x="103"/>
        <item x="3"/>
        <item x="162"/>
        <item x="31"/>
        <item x="114"/>
        <item x="56"/>
        <item x="92"/>
        <item x="179"/>
        <item x="49"/>
        <item x="163"/>
        <item x="144"/>
        <item x="15"/>
        <item x="132"/>
        <item x="89"/>
        <item x="108"/>
        <item x="125"/>
        <item x="156"/>
        <item x="43"/>
        <item x="12"/>
        <item x="23"/>
        <item x="154"/>
        <item x="39"/>
        <item x="158"/>
        <item x="122"/>
        <item x="94"/>
        <item x="164"/>
        <item x="110"/>
        <item t="default"/>
      </items>
    </pivotField>
    <pivotField showAll="0"/>
    <pivotField showAll="0"/>
    <pivotField axis="axisRow" showAll="0">
      <items count="22">
        <item x="5"/>
        <item x="11"/>
        <item x="1"/>
        <item x="6"/>
        <item x="16"/>
        <item x="4"/>
        <item x="7"/>
        <item x="14"/>
        <item x="8"/>
        <item x="10"/>
        <item x="9"/>
        <item x="12"/>
        <item x="20"/>
        <item x="13"/>
        <item x="0"/>
        <item x="3"/>
        <item x="18"/>
        <item x="15"/>
        <item x="19"/>
        <item x="1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165" showAll="0"/>
    <pivotField numFmtId="2" showAll="0"/>
    <pivotField numFmtId="165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DC768-90C4-4FAB-91EC-5DE8969CC381}" name="PivotTable11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8:B154" firstHeaderRow="1" firstDataRow="1" firstDataCol="1"/>
  <pivotFields count="20">
    <pivotField showAll="0"/>
    <pivotField numFmtId="14" showAll="0">
      <items count="189">
        <item x="157"/>
        <item x="104"/>
        <item x="159"/>
        <item x="45"/>
        <item x="19"/>
        <item x="80"/>
        <item x="21"/>
        <item x="126"/>
        <item x="153"/>
        <item x="70"/>
        <item x="113"/>
        <item x="14"/>
        <item x="146"/>
        <item x="42"/>
        <item x="93"/>
        <item x="180"/>
        <item x="37"/>
        <item x="64"/>
        <item x="184"/>
        <item x="145"/>
        <item x="18"/>
        <item x="27"/>
        <item x="120"/>
        <item x="32"/>
        <item x="185"/>
        <item x="34"/>
        <item x="101"/>
        <item x="161"/>
        <item x="96"/>
        <item x="143"/>
        <item x="137"/>
        <item x="172"/>
        <item x="41"/>
        <item x="160"/>
        <item x="134"/>
        <item x="36"/>
        <item x="63"/>
        <item x="102"/>
        <item x="25"/>
        <item x="169"/>
        <item x="99"/>
        <item x="141"/>
        <item x="73"/>
        <item x="178"/>
        <item x="40"/>
        <item x="167"/>
        <item x="174"/>
        <item x="72"/>
        <item x="9"/>
        <item x="129"/>
        <item x="28"/>
        <item x="127"/>
        <item x="95"/>
        <item x="151"/>
        <item x="24"/>
        <item x="87"/>
        <item x="176"/>
        <item x="78"/>
        <item x="10"/>
        <item x="38"/>
        <item x="16"/>
        <item x="26"/>
        <item x="1"/>
        <item x="47"/>
        <item x="117"/>
        <item x="55"/>
        <item x="155"/>
        <item x="81"/>
        <item x="2"/>
        <item x="7"/>
        <item x="133"/>
        <item x="68"/>
        <item x="57"/>
        <item x="100"/>
        <item x="61"/>
        <item x="8"/>
        <item x="115"/>
        <item x="171"/>
        <item x="118"/>
        <item x="48"/>
        <item x="6"/>
        <item x="85"/>
        <item x="173"/>
        <item x="54"/>
        <item x="84"/>
        <item x="33"/>
        <item x="121"/>
        <item x="131"/>
        <item x="182"/>
        <item x="111"/>
        <item x="82"/>
        <item x="152"/>
        <item x="119"/>
        <item x="77"/>
        <item x="4"/>
        <item x="79"/>
        <item x="105"/>
        <item x="109"/>
        <item x="112"/>
        <item x="147"/>
        <item x="59"/>
        <item x="62"/>
        <item x="13"/>
        <item x="116"/>
        <item x="11"/>
        <item x="88"/>
        <item x="97"/>
        <item x="0"/>
        <item x="128"/>
        <item x="168"/>
        <item x="22"/>
        <item x="17"/>
        <item x="58"/>
        <item x="140"/>
        <item x="71"/>
        <item x="124"/>
        <item x="66"/>
        <item x="139"/>
        <item x="86"/>
        <item x="175"/>
        <item x="65"/>
        <item x="123"/>
        <item x="20"/>
        <item x="186"/>
        <item x="60"/>
        <item x="181"/>
        <item x="67"/>
        <item x="44"/>
        <item x="46"/>
        <item x="90"/>
        <item x="91"/>
        <item x="130"/>
        <item x="136"/>
        <item x="98"/>
        <item x="83"/>
        <item x="165"/>
        <item x="52"/>
        <item x="138"/>
        <item x="107"/>
        <item x="106"/>
        <item x="170"/>
        <item x="135"/>
        <item x="76"/>
        <item x="183"/>
        <item x="51"/>
        <item x="149"/>
        <item x="5"/>
        <item x="35"/>
        <item x="74"/>
        <item x="150"/>
        <item x="166"/>
        <item x="177"/>
        <item x="69"/>
        <item x="50"/>
        <item x="30"/>
        <item x="148"/>
        <item x="29"/>
        <item x="53"/>
        <item x="75"/>
        <item x="142"/>
        <item x="187"/>
        <item x="103"/>
        <item x="3"/>
        <item x="162"/>
        <item x="31"/>
        <item x="114"/>
        <item x="56"/>
        <item x="92"/>
        <item x="179"/>
        <item x="49"/>
        <item x="163"/>
        <item x="144"/>
        <item x="15"/>
        <item x="132"/>
        <item x="89"/>
        <item x="108"/>
        <item x="125"/>
        <item x="156"/>
        <item x="43"/>
        <item x="12"/>
        <item x="23"/>
        <item x="154"/>
        <item x="39"/>
        <item x="158"/>
        <item x="122"/>
        <item x="94"/>
        <item x="164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numFmtId="2" showAll="0"/>
    <pivotField numFmtId="165" showAll="0"/>
    <pivotField dataField="1" numFmtId="2" showAll="0"/>
    <pivotField numFmtId="165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iscount_Rate" fld="13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A6114-03BC-4207-BDE4-83DE7F49CD47}" name="PivotTable8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9:B145" firstHeaderRow="1" firstDataRow="1" firstDataCol="1"/>
  <pivotFields count="20">
    <pivotField showAll="0"/>
    <pivotField numFmtId="14" showAll="0">
      <items count="189">
        <item x="157"/>
        <item x="104"/>
        <item x="159"/>
        <item x="45"/>
        <item x="19"/>
        <item x="80"/>
        <item x="21"/>
        <item x="126"/>
        <item x="153"/>
        <item x="70"/>
        <item x="113"/>
        <item x="14"/>
        <item x="146"/>
        <item x="42"/>
        <item x="93"/>
        <item x="180"/>
        <item x="37"/>
        <item x="64"/>
        <item x="184"/>
        <item x="145"/>
        <item x="18"/>
        <item x="27"/>
        <item x="120"/>
        <item x="32"/>
        <item x="185"/>
        <item x="34"/>
        <item x="101"/>
        <item x="161"/>
        <item x="96"/>
        <item x="143"/>
        <item x="137"/>
        <item x="172"/>
        <item x="41"/>
        <item x="160"/>
        <item x="134"/>
        <item x="36"/>
        <item x="63"/>
        <item x="102"/>
        <item x="25"/>
        <item x="169"/>
        <item x="99"/>
        <item x="141"/>
        <item x="73"/>
        <item x="178"/>
        <item x="40"/>
        <item x="167"/>
        <item x="174"/>
        <item x="72"/>
        <item x="9"/>
        <item x="129"/>
        <item x="28"/>
        <item x="127"/>
        <item x="95"/>
        <item x="151"/>
        <item x="24"/>
        <item x="87"/>
        <item x="176"/>
        <item x="78"/>
        <item x="10"/>
        <item x="38"/>
        <item x="16"/>
        <item x="26"/>
        <item x="1"/>
        <item x="47"/>
        <item x="117"/>
        <item x="55"/>
        <item x="155"/>
        <item x="81"/>
        <item x="2"/>
        <item x="7"/>
        <item x="133"/>
        <item x="68"/>
        <item x="57"/>
        <item x="100"/>
        <item x="61"/>
        <item x="8"/>
        <item x="115"/>
        <item x="171"/>
        <item x="118"/>
        <item x="48"/>
        <item x="6"/>
        <item x="85"/>
        <item x="173"/>
        <item x="54"/>
        <item x="84"/>
        <item x="33"/>
        <item x="121"/>
        <item x="131"/>
        <item x="182"/>
        <item x="111"/>
        <item x="82"/>
        <item x="152"/>
        <item x="119"/>
        <item x="77"/>
        <item x="4"/>
        <item x="79"/>
        <item x="105"/>
        <item x="109"/>
        <item x="112"/>
        <item x="147"/>
        <item x="59"/>
        <item x="62"/>
        <item x="13"/>
        <item x="116"/>
        <item x="11"/>
        <item x="88"/>
        <item x="97"/>
        <item x="0"/>
        <item x="128"/>
        <item x="168"/>
        <item x="22"/>
        <item x="17"/>
        <item x="58"/>
        <item x="140"/>
        <item x="71"/>
        <item x="124"/>
        <item x="66"/>
        <item x="139"/>
        <item x="86"/>
        <item x="175"/>
        <item x="65"/>
        <item x="123"/>
        <item x="20"/>
        <item x="186"/>
        <item x="60"/>
        <item x="181"/>
        <item x="67"/>
        <item x="44"/>
        <item x="46"/>
        <item x="90"/>
        <item x="91"/>
        <item x="130"/>
        <item x="136"/>
        <item x="98"/>
        <item x="83"/>
        <item x="165"/>
        <item x="52"/>
        <item x="138"/>
        <item x="107"/>
        <item x="106"/>
        <item x="170"/>
        <item x="135"/>
        <item x="76"/>
        <item x="183"/>
        <item x="51"/>
        <item x="149"/>
        <item x="5"/>
        <item x="35"/>
        <item x="74"/>
        <item x="150"/>
        <item x="166"/>
        <item x="177"/>
        <item x="69"/>
        <item x="50"/>
        <item x="30"/>
        <item x="148"/>
        <item x="29"/>
        <item x="53"/>
        <item x="75"/>
        <item x="142"/>
        <item x="187"/>
        <item x="103"/>
        <item x="3"/>
        <item x="162"/>
        <item x="31"/>
        <item x="114"/>
        <item x="56"/>
        <item x="92"/>
        <item x="179"/>
        <item x="49"/>
        <item x="163"/>
        <item x="144"/>
        <item x="15"/>
        <item x="132"/>
        <item x="89"/>
        <item x="108"/>
        <item x="125"/>
        <item x="156"/>
        <item x="43"/>
        <item x="12"/>
        <item x="23"/>
        <item x="154"/>
        <item x="39"/>
        <item x="158"/>
        <item x="122"/>
        <item x="94"/>
        <item x="164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65" showAll="0"/>
    <pivotField numFmtId="2" showAll="0"/>
    <pivotField dataField="1" numFmtId="165" showAll="0"/>
    <pivotField showAll="0"/>
    <pivotField showAll="0"/>
    <pivotField axis="axisRow" showAll="0">
      <items count="9">
        <item m="1" x="5"/>
        <item x="0"/>
        <item m="1" x="6"/>
        <item x="1"/>
        <item x="4"/>
        <item x="3"/>
        <item m="1" x="7"/>
        <item x="2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7"/>
  </rowFields>
  <rowItems count="6">
    <i>
      <x v="1"/>
    </i>
    <i>
      <x v="3"/>
    </i>
    <i>
      <x v="4"/>
    </i>
    <i>
      <x v="5"/>
    </i>
    <i>
      <x v="7"/>
    </i>
    <i t="grand">
      <x/>
    </i>
  </rowItems>
  <colItems count="1">
    <i/>
  </colItems>
  <dataFields count="1">
    <dataField name="Sum of Net_Sales_NG" fld="1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54F25-2D80-475C-9935-65AB2605C214}" name="PivotTable3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7:B137" firstHeaderRow="1" firstDataRow="1" firstDataCol="1"/>
  <pivotFields count="20">
    <pivotField showAll="0"/>
    <pivotField numFmtId="14" showAll="0">
      <items count="189">
        <item x="157"/>
        <item x="104"/>
        <item x="159"/>
        <item x="45"/>
        <item x="19"/>
        <item x="80"/>
        <item x="21"/>
        <item x="126"/>
        <item x="153"/>
        <item x="70"/>
        <item x="113"/>
        <item x="14"/>
        <item x="146"/>
        <item x="42"/>
        <item x="93"/>
        <item x="180"/>
        <item x="37"/>
        <item x="64"/>
        <item x="184"/>
        <item x="145"/>
        <item x="18"/>
        <item x="27"/>
        <item x="120"/>
        <item x="32"/>
        <item x="185"/>
        <item x="34"/>
        <item x="101"/>
        <item x="161"/>
        <item x="96"/>
        <item x="143"/>
        <item x="137"/>
        <item x="172"/>
        <item x="41"/>
        <item x="160"/>
        <item x="134"/>
        <item x="36"/>
        <item x="63"/>
        <item x="102"/>
        <item x="25"/>
        <item x="169"/>
        <item x="99"/>
        <item x="141"/>
        <item x="73"/>
        <item x="178"/>
        <item x="40"/>
        <item x="167"/>
        <item x="174"/>
        <item x="72"/>
        <item x="9"/>
        <item x="129"/>
        <item x="28"/>
        <item x="127"/>
        <item x="95"/>
        <item x="151"/>
        <item x="24"/>
        <item x="87"/>
        <item x="176"/>
        <item x="78"/>
        <item x="10"/>
        <item x="38"/>
        <item x="16"/>
        <item x="26"/>
        <item x="1"/>
        <item x="47"/>
        <item x="117"/>
        <item x="55"/>
        <item x="155"/>
        <item x="81"/>
        <item x="2"/>
        <item x="7"/>
        <item x="133"/>
        <item x="68"/>
        <item x="57"/>
        <item x="100"/>
        <item x="61"/>
        <item x="8"/>
        <item x="115"/>
        <item x="171"/>
        <item x="118"/>
        <item x="48"/>
        <item x="6"/>
        <item x="85"/>
        <item x="173"/>
        <item x="54"/>
        <item x="84"/>
        <item x="33"/>
        <item x="121"/>
        <item x="131"/>
        <item x="182"/>
        <item x="111"/>
        <item x="82"/>
        <item x="152"/>
        <item x="119"/>
        <item x="77"/>
        <item x="4"/>
        <item x="79"/>
        <item x="105"/>
        <item x="109"/>
        <item x="112"/>
        <item x="147"/>
        <item x="59"/>
        <item x="62"/>
        <item x="13"/>
        <item x="116"/>
        <item x="11"/>
        <item x="88"/>
        <item x="97"/>
        <item x="0"/>
        <item x="128"/>
        <item x="168"/>
        <item x="22"/>
        <item x="17"/>
        <item x="58"/>
        <item x="140"/>
        <item x="71"/>
        <item x="124"/>
        <item x="66"/>
        <item x="139"/>
        <item x="86"/>
        <item x="175"/>
        <item x="65"/>
        <item x="123"/>
        <item x="20"/>
        <item x="186"/>
        <item x="60"/>
        <item x="181"/>
        <item x="67"/>
        <item x="44"/>
        <item x="46"/>
        <item x="90"/>
        <item x="91"/>
        <item x="130"/>
        <item x="136"/>
        <item x="98"/>
        <item x="83"/>
        <item x="165"/>
        <item x="52"/>
        <item x="138"/>
        <item x="107"/>
        <item x="106"/>
        <item x="170"/>
        <item x="135"/>
        <item x="76"/>
        <item x="183"/>
        <item x="51"/>
        <item x="149"/>
        <item x="5"/>
        <item x="35"/>
        <item x="74"/>
        <item x="150"/>
        <item x="166"/>
        <item x="177"/>
        <item x="69"/>
        <item x="50"/>
        <item x="30"/>
        <item x="148"/>
        <item x="29"/>
        <item x="53"/>
        <item x="75"/>
        <item x="142"/>
        <item x="187"/>
        <item x="103"/>
        <item x="3"/>
        <item x="162"/>
        <item x="31"/>
        <item x="114"/>
        <item x="56"/>
        <item x="92"/>
        <item x="179"/>
        <item x="49"/>
        <item x="163"/>
        <item x="144"/>
        <item x="15"/>
        <item x="132"/>
        <item x="89"/>
        <item x="108"/>
        <item x="125"/>
        <item x="156"/>
        <item x="43"/>
        <item x="12"/>
        <item x="23"/>
        <item x="154"/>
        <item x="39"/>
        <item x="158"/>
        <item x="122"/>
        <item x="94"/>
        <item x="164"/>
        <item x="1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65" showAll="0"/>
    <pivotField numFmtId="2" showAll="0"/>
    <pivotField dataField="1" numFmtId="165" showAll="0"/>
    <pivotField showAll="0"/>
    <pivotField axis="axisRow" showAll="0">
      <items count="10">
        <item x="4"/>
        <item x="5"/>
        <item x="7"/>
        <item x="6"/>
        <item x="3"/>
        <item x="2"/>
        <item x="1"/>
        <item x="8"/>
        <item x="0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Net_Sales_NG" fld="1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5FA59-6DF5-4AED-8C71-4B1DF229DE87}" name="PivotTable2" cacheId="10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13" firstHeaderRow="0" firstDataRow="0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B8225-3858-40FF-B878-71CBB62CABBE}" name="PivotTable9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37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25">
        <item m="1" x="19"/>
        <item x="9"/>
        <item x="17"/>
        <item x="5"/>
        <item x="15"/>
        <item x="6"/>
        <item x="7"/>
        <item m="1" x="20"/>
        <item x="12"/>
        <item x="0"/>
        <item x="8"/>
        <item m="1" x="18"/>
        <item x="10"/>
        <item m="1" x="22"/>
        <item x="2"/>
        <item m="1" x="23"/>
        <item x="1"/>
        <item x="16"/>
        <item x="14"/>
        <item x="13"/>
        <item m="1" x="21"/>
        <item x="4"/>
        <item x="11"/>
        <item x="3"/>
        <item t="default"/>
      </items>
    </pivotField>
    <pivotField showAll="0"/>
    <pivotField showAll="0"/>
    <pivotField numFmtId="2" showAll="0"/>
    <pivotField numFmtId="165" showAll="0"/>
    <pivotField numFmtId="2" showAll="0"/>
    <pivotField dataField="1" numFmtId="165" showAll="0"/>
  </pivotFields>
  <rowFields count="1">
    <field x="8"/>
  </rowFields>
  <rowItems count="19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2"/>
    </i>
    <i>
      <x v="14"/>
    </i>
    <i>
      <x v="16"/>
    </i>
    <i>
      <x v="17"/>
    </i>
    <i>
      <x v="18"/>
    </i>
    <i>
      <x v="19"/>
    </i>
    <i>
      <x v="21"/>
    </i>
    <i>
      <x v="22"/>
    </i>
    <i>
      <x v="23"/>
    </i>
    <i t="grand">
      <x/>
    </i>
  </rowItems>
  <colItems count="1">
    <i/>
  </colItems>
  <dataFields count="1">
    <dataField name="Sum of Net_Sales_NG" fld="1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E9ABD-7312-4398-9400-FC8A3832AEEB}" name="PivotTable7" cacheId="9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91:B110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5">
        <item m="1" x="19"/>
        <item x="9"/>
        <item x="17"/>
        <item x="5"/>
        <item x="15"/>
        <item x="6"/>
        <item x="7"/>
        <item m="1" x="20"/>
        <item x="12"/>
        <item x="0"/>
        <item x="8"/>
        <item m="1" x="18"/>
        <item x="10"/>
        <item m="1" x="22"/>
        <item x="2"/>
        <item m="1" x="23"/>
        <item x="1"/>
        <item x="16"/>
        <item x="14"/>
        <item x="13"/>
        <item m="1" x="21"/>
        <item x="4"/>
        <item x="11"/>
        <item x="3"/>
        <item t="default"/>
      </items>
    </pivotField>
    <pivotField showAll="0"/>
    <pivotField showAll="0"/>
    <pivotField numFmtId="2" showAll="0"/>
    <pivotField numFmtId="165" showAll="0"/>
    <pivotField numFmtId="2" showAll="0"/>
    <pivotField dataField="1" numFmtId="165" showAll="0"/>
  </pivotFields>
  <rowFields count="1">
    <field x="8"/>
  </rowFields>
  <rowItems count="19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2"/>
    </i>
    <i>
      <x v="14"/>
    </i>
    <i>
      <x v="16"/>
    </i>
    <i>
      <x v="17"/>
    </i>
    <i>
      <x v="18"/>
    </i>
    <i>
      <x v="19"/>
    </i>
    <i>
      <x v="21"/>
    </i>
    <i>
      <x v="22"/>
    </i>
    <i>
      <x v="23"/>
    </i>
    <i t="grand">
      <x/>
    </i>
  </rowItems>
  <colItems count="1">
    <i/>
  </colItems>
  <dataFields count="1">
    <dataField name="Sum of Net_Sales_NG" fld="1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D0B40-4538-425F-97F8-E56DA3AA5B62}" name="PivotTable5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7:B69" firstHeaderRow="1" firstDataRow="1" firstDataCol="1"/>
  <pivotFields count="15">
    <pivotField showAll="0"/>
    <pivotField numFmtId="14" showAll="0"/>
    <pivotField showAll="0"/>
    <pivotField showAll="0"/>
    <pivotField axis="axisRow" showAll="0">
      <items count="22">
        <item x="5"/>
        <item x="11"/>
        <item x="1"/>
        <item x="6"/>
        <item x="16"/>
        <item x="4"/>
        <item x="7"/>
        <item x="14"/>
        <item x="8"/>
        <item x="10"/>
        <item x="9"/>
        <item x="12"/>
        <item x="20"/>
        <item x="13"/>
        <item x="0"/>
        <item x="3"/>
        <item x="18"/>
        <item x="15"/>
        <item x="19"/>
        <item x="1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165" showAll="0"/>
    <pivotField numFmtId="2" showAll="0"/>
    <pivotField dataField="1" numFmtId="165" showAll="0"/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Net_Sales_NG" fld="1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6B2A3-0109-4C1A-84C7-372E0C521E2D}" name="PivotTable13" cacheId="10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81" firstHeaderRow="0" firstDataRow="0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5"/>
        <item x="7"/>
        <item x="6"/>
        <item x="3"/>
        <item x="2"/>
        <item x="1"/>
        <item x="8"/>
        <item x="0"/>
        <item x="9"/>
        <item t="default"/>
      </items>
    </pivotField>
    <pivotField showAll="0"/>
  </pivotFields>
  <rowFields count="1">
    <field x="1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81345-6FF9-467B-9C97-472891CF7ECF}" name="PivotTable12" cacheId="10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82" firstHeaderRow="0" firstDataRow="0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5"/>
        <item x="7"/>
        <item x="6"/>
        <item x="3"/>
        <item x="2"/>
        <item x="1"/>
        <item x="8"/>
        <item x="0"/>
        <item x="9"/>
        <item t="default"/>
      </items>
    </pivotField>
    <pivotField showAll="0"/>
  </pivotFields>
  <rowFields count="1">
    <field x="1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14BBC-E8E0-4F6D-AFDB-F37710039E46}" name="PivotTable4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B44" firstHeaderRow="1" firstDataRow="1" firstDataCol="1"/>
  <pivotFields count="15">
    <pivotField showAll="0"/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65" showAll="0"/>
    <pivotField numFmtId="2" showAll="0"/>
    <pivotField dataField="1" numFmtId="165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Sales_NG" fld="1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AFB4D-DFD7-4EC8-8D4E-1E75BBB299E8}" name="PivotTable10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2:B78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numFmtId="2" showAll="0"/>
    <pivotField numFmtId="165" showAll="0"/>
    <pivotField numFmtId="2" showAll="0"/>
    <pivotField dataField="1" numFmtId="165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_Sales_NG" fld="1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ED6440-7CB8-44AE-9A28-57DB467BE5DA}" name="Table2" displayName="Table2" ref="A3:R24" totalsRowShown="0">
  <autoFilter ref="A3:R24" xr:uid="{54ED6440-7CB8-44AE-9A28-57DB467BE5DA}"/>
  <tableColumns count="18">
    <tableColumn id="1" xr3:uid="{F0A88C68-DC50-4892-A1F9-B1D15E7F0AD9}" name="Transaction_ID"/>
    <tableColumn id="2" xr3:uid="{B215BE1F-AC65-4FD1-93FF-C24F7ADA168F}" name="Transaction_Date" dataDxfId="1"/>
    <tableColumn id="3" xr3:uid="{2E5D8E38-D95C-420A-97E5-7E2981872182}" name="MONTHS"/>
    <tableColumn id="4" xr3:uid="{203B7659-5C2E-4E6B-BDFE-393C848FEAB3}" name="QUARTER"/>
    <tableColumn id="5" xr3:uid="{B0F8F707-7F6B-4350-8D4D-FA14A09ABBF3}" name="Customer"/>
    <tableColumn id="6" xr3:uid="{81CF89DE-6869-48EA-BAD9-58C20675628D}" name="Customer_Sector"/>
    <tableColumn id="7" xr3:uid="{FD317D2F-0F90-4B3F-B856-847D0A7D66F8}" name="City"/>
    <tableColumn id="8" xr3:uid="{9F61E158-812C-46A1-B2D1-A3EF6AB7B702}" name="State"/>
    <tableColumn id="9" xr3:uid="{1F7966CC-3784-4902-AFA6-9C101F66D6F0}" name="Product"/>
    <tableColumn id="10" xr3:uid="{4275BABE-489C-4A05-903A-2448AEBD1B02}" name="Category"/>
    <tableColumn id="11" xr3:uid="{34AC6205-957A-4B8C-819D-0AD280B25710}" name="Subcategory"/>
    <tableColumn id="12" xr3:uid="{35E4150D-6D6A-49F3-B331-98EAC086EE88}" name="Quantity"/>
    <tableColumn id="13" xr3:uid="{9A26C8B1-7D9D-44E4-9FF3-C6B902E88738}" name="Unit_Price_NG"/>
    <tableColumn id="14" xr3:uid="{8740463D-C2EA-4A63-92DB-12915E13677A}" name="Discount_Rate"/>
    <tableColumn id="15" xr3:uid="{BB20C897-00BA-467D-8CEF-796E63D64E40}" name="Net_Sales_NG"/>
    <tableColumn id="16" xr3:uid="{994C77D3-4C75-4B8D-9605-42A9ED045E63}" name="Payment_Method"/>
    <tableColumn id="17" xr3:uid="{938D3DF7-4E76-4D5D-BE11-2F2782CBB68D}" name="Salesperson"/>
    <tableColumn id="18" xr3:uid="{21423136-AE3B-48CF-8988-933B47F7B075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1"/>
  <sheetViews>
    <sheetView topLeftCell="C1" workbookViewId="0">
      <pane ySplit="1" topLeftCell="A2" activePane="bottomLeft" state="frozen"/>
      <selection pane="bottomLeft" activeCell="K10" sqref="K10"/>
    </sheetView>
  </sheetViews>
  <sheetFormatPr defaultRowHeight="14.4" x14ac:dyDescent="0.3"/>
  <cols>
    <col min="1" max="1" width="16" customWidth="1"/>
    <col min="2" max="2" width="21" customWidth="1"/>
    <col min="3" max="3" width="29" customWidth="1"/>
    <col min="4" max="4" width="20" customWidth="1"/>
    <col min="5" max="5" width="17" customWidth="1"/>
    <col min="6" max="6" width="12" customWidth="1"/>
    <col min="7" max="7" width="23" customWidth="1"/>
    <col min="8" max="8" width="13" customWidth="1"/>
    <col min="9" max="9" width="17" customWidth="1"/>
    <col min="10" max="10" width="12" customWidth="1"/>
    <col min="11" max="11" width="16" customWidth="1"/>
    <col min="12" max="13" width="15" customWidth="1"/>
    <col min="14" max="15" width="17" customWidth="1"/>
    <col min="16" max="16" width="12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2">
        <v>45871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9</v>
      </c>
      <c r="K2">
        <v>20000</v>
      </c>
      <c r="L2">
        <v>0.02</v>
      </c>
      <c r="M2">
        <v>0</v>
      </c>
      <c r="N2" t="s">
        <v>24</v>
      </c>
      <c r="O2" t="s">
        <v>25</v>
      </c>
      <c r="P2" t="s">
        <v>26</v>
      </c>
    </row>
    <row r="3" spans="1:16" x14ac:dyDescent="0.3">
      <c r="A3" t="s">
        <v>27</v>
      </c>
      <c r="B3" s="2">
        <v>45786</v>
      </c>
      <c r="C3" t="s">
        <v>28</v>
      </c>
      <c r="D3" t="s">
        <v>29</v>
      </c>
      <c r="E3" t="s">
        <v>30</v>
      </c>
      <c r="F3" t="s">
        <v>20</v>
      </c>
      <c r="G3" t="s">
        <v>31</v>
      </c>
      <c r="H3" t="s">
        <v>32</v>
      </c>
      <c r="I3" t="s">
        <v>33</v>
      </c>
      <c r="J3">
        <v>6</v>
      </c>
      <c r="K3">
        <v>85000</v>
      </c>
      <c r="L3">
        <v>0</v>
      </c>
      <c r="M3" t="s">
        <v>34</v>
      </c>
      <c r="N3" t="s">
        <v>35</v>
      </c>
      <c r="O3" t="s">
        <v>36</v>
      </c>
      <c r="P3" t="s">
        <v>37</v>
      </c>
    </row>
    <row r="4" spans="1:16" x14ac:dyDescent="0.3">
      <c r="A4" t="s">
        <v>38</v>
      </c>
      <c r="B4" s="2">
        <v>45799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32</v>
      </c>
      <c r="I4" t="s">
        <v>44</v>
      </c>
      <c r="J4">
        <v>15</v>
      </c>
      <c r="K4">
        <v>224000</v>
      </c>
      <c r="L4">
        <v>0.1</v>
      </c>
      <c r="M4" t="s">
        <v>45</v>
      </c>
      <c r="N4" t="s">
        <v>35</v>
      </c>
      <c r="O4" t="s">
        <v>46</v>
      </c>
      <c r="P4" t="s">
        <v>47</v>
      </c>
    </row>
    <row r="5" spans="1:16" x14ac:dyDescent="0.3">
      <c r="A5" t="s">
        <v>48</v>
      </c>
      <c r="B5" s="2">
        <v>45965</v>
      </c>
      <c r="C5" t="s">
        <v>49</v>
      </c>
      <c r="D5" t="s">
        <v>50</v>
      </c>
      <c r="E5" t="s">
        <v>19</v>
      </c>
      <c r="F5" t="s">
        <v>20</v>
      </c>
      <c r="G5" t="s">
        <v>51</v>
      </c>
      <c r="H5" t="s">
        <v>32</v>
      </c>
      <c r="I5" t="s">
        <v>52</v>
      </c>
      <c r="J5">
        <v>14</v>
      </c>
      <c r="K5">
        <v>343000</v>
      </c>
      <c r="L5">
        <v>0</v>
      </c>
      <c r="M5">
        <v>4802000</v>
      </c>
      <c r="N5" t="s">
        <v>53</v>
      </c>
      <c r="O5" t="s">
        <v>46</v>
      </c>
      <c r="P5" t="s">
        <v>54</v>
      </c>
    </row>
    <row r="6" spans="1:16" x14ac:dyDescent="0.3">
      <c r="A6" t="s">
        <v>55</v>
      </c>
      <c r="B6" s="2">
        <v>45841</v>
      </c>
      <c r="C6" t="s">
        <v>56</v>
      </c>
      <c r="D6" t="s">
        <v>18</v>
      </c>
      <c r="E6" t="s">
        <v>42</v>
      </c>
      <c r="F6" t="s">
        <v>41</v>
      </c>
      <c r="G6" t="s">
        <v>57</v>
      </c>
      <c r="H6" t="s">
        <v>32</v>
      </c>
      <c r="I6" t="s">
        <v>58</v>
      </c>
      <c r="J6">
        <v>5</v>
      </c>
      <c r="K6">
        <v>640000</v>
      </c>
      <c r="L6">
        <v>0.1</v>
      </c>
      <c r="M6" t="s">
        <v>59</v>
      </c>
      <c r="N6" t="s">
        <v>53</v>
      </c>
      <c r="O6" t="s">
        <v>60</v>
      </c>
      <c r="P6" t="s">
        <v>61</v>
      </c>
    </row>
    <row r="7" spans="1:16" x14ac:dyDescent="0.3">
      <c r="A7" t="s">
        <v>62</v>
      </c>
      <c r="B7" s="2">
        <v>45942</v>
      </c>
      <c r="C7" t="s">
        <v>63</v>
      </c>
      <c r="D7" t="s">
        <v>18</v>
      </c>
      <c r="E7" t="s">
        <v>42</v>
      </c>
      <c r="F7" t="s">
        <v>42</v>
      </c>
      <c r="G7" t="s">
        <v>64</v>
      </c>
      <c r="H7" t="s">
        <v>32</v>
      </c>
      <c r="I7" t="s">
        <v>65</v>
      </c>
      <c r="J7">
        <v>4</v>
      </c>
      <c r="K7">
        <v>518000</v>
      </c>
      <c r="L7">
        <v>0.1</v>
      </c>
      <c r="M7">
        <v>0</v>
      </c>
      <c r="N7" t="s">
        <v>35</v>
      </c>
      <c r="O7" t="s">
        <v>60</v>
      </c>
      <c r="P7" t="s">
        <v>26</v>
      </c>
    </row>
    <row r="8" spans="1:16" x14ac:dyDescent="0.3">
      <c r="A8" t="s">
        <v>66</v>
      </c>
      <c r="B8" s="2">
        <v>45813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32</v>
      </c>
      <c r="I8" t="s">
        <v>33</v>
      </c>
      <c r="J8">
        <v>5</v>
      </c>
      <c r="K8">
        <v>331000</v>
      </c>
      <c r="L8">
        <v>0.05</v>
      </c>
      <c r="M8">
        <v>1572250</v>
      </c>
      <c r="N8" t="s">
        <v>35</v>
      </c>
      <c r="O8" t="s">
        <v>60</v>
      </c>
      <c r="P8" t="s">
        <v>47</v>
      </c>
    </row>
    <row r="9" spans="1:16" x14ac:dyDescent="0.3">
      <c r="A9" t="s">
        <v>72</v>
      </c>
      <c r="B9" s="2">
        <v>45800</v>
      </c>
      <c r="C9" t="s">
        <v>17</v>
      </c>
      <c r="D9" t="s">
        <v>18</v>
      </c>
      <c r="E9" t="s">
        <v>19</v>
      </c>
      <c r="F9" t="s">
        <v>73</v>
      </c>
      <c r="G9" t="s">
        <v>74</v>
      </c>
      <c r="H9" t="s">
        <v>32</v>
      </c>
      <c r="I9" t="s">
        <v>33</v>
      </c>
      <c r="J9">
        <v>11</v>
      </c>
      <c r="K9">
        <v>91000</v>
      </c>
      <c r="L9">
        <v>0.05</v>
      </c>
      <c r="M9">
        <v>950950</v>
      </c>
      <c r="N9" t="s">
        <v>35</v>
      </c>
      <c r="O9" t="s">
        <v>75</v>
      </c>
      <c r="P9" t="s">
        <v>47</v>
      </c>
    </row>
    <row r="10" spans="1:16" x14ac:dyDescent="0.3">
      <c r="A10" t="s">
        <v>76</v>
      </c>
      <c r="B10" s="2">
        <v>45808</v>
      </c>
      <c r="C10" t="s">
        <v>39</v>
      </c>
      <c r="D10" t="s">
        <v>40</v>
      </c>
      <c r="E10" t="s">
        <v>42</v>
      </c>
      <c r="F10" t="s">
        <v>77</v>
      </c>
      <c r="G10" t="s">
        <v>71</v>
      </c>
      <c r="H10" t="s">
        <v>32</v>
      </c>
      <c r="I10" t="s">
        <v>33</v>
      </c>
      <c r="J10">
        <v>1</v>
      </c>
      <c r="K10" t="s">
        <v>78</v>
      </c>
      <c r="L10">
        <v>0.05</v>
      </c>
      <c r="M10">
        <v>-311600</v>
      </c>
      <c r="N10" t="s">
        <v>79</v>
      </c>
      <c r="O10" t="s">
        <v>46</v>
      </c>
      <c r="P10" t="s">
        <v>80</v>
      </c>
    </row>
    <row r="11" spans="1:16" x14ac:dyDescent="0.3">
      <c r="A11" t="s">
        <v>81</v>
      </c>
      <c r="B11" s="2">
        <v>45755</v>
      </c>
      <c r="C11" t="s">
        <v>82</v>
      </c>
      <c r="D11" t="s">
        <v>83</v>
      </c>
      <c r="E11" t="s">
        <v>84</v>
      </c>
      <c r="F11" t="s">
        <v>85</v>
      </c>
      <c r="G11" t="s">
        <v>74</v>
      </c>
      <c r="H11" t="s">
        <v>32</v>
      </c>
      <c r="I11" t="s">
        <v>33</v>
      </c>
      <c r="J11">
        <v>11</v>
      </c>
      <c r="K11">
        <v>82000</v>
      </c>
      <c r="L11">
        <v>0</v>
      </c>
      <c r="M11">
        <v>902000</v>
      </c>
      <c r="N11" t="s">
        <v>86</v>
      </c>
      <c r="O11" t="s">
        <v>36</v>
      </c>
      <c r="P11" t="s">
        <v>87</v>
      </c>
    </row>
    <row r="12" spans="1:16" x14ac:dyDescent="0.3">
      <c r="A12" t="s">
        <v>88</v>
      </c>
      <c r="B12" s="2">
        <v>45778</v>
      </c>
      <c r="C12" t="s">
        <v>89</v>
      </c>
      <c r="D12" t="s">
        <v>90</v>
      </c>
      <c r="E12" t="s">
        <v>19</v>
      </c>
      <c r="F12" t="s">
        <v>73</v>
      </c>
      <c r="G12" t="s">
        <v>91</v>
      </c>
      <c r="H12" t="s">
        <v>22</v>
      </c>
      <c r="I12" t="s">
        <v>92</v>
      </c>
      <c r="J12">
        <v>12</v>
      </c>
      <c r="K12" t="s">
        <v>93</v>
      </c>
      <c r="L12">
        <v>0</v>
      </c>
      <c r="M12">
        <v>2064000</v>
      </c>
      <c r="N12" t="s">
        <v>94</v>
      </c>
      <c r="O12" t="s">
        <v>95</v>
      </c>
      <c r="P12" t="s">
        <v>54</v>
      </c>
    </row>
    <row r="13" spans="1:16" x14ac:dyDescent="0.3">
      <c r="A13" t="s">
        <v>96</v>
      </c>
      <c r="B13" s="2">
        <v>45866</v>
      </c>
      <c r="C13" t="s">
        <v>39</v>
      </c>
      <c r="D13" t="s">
        <v>40</v>
      </c>
      <c r="E13" t="s">
        <v>42</v>
      </c>
      <c r="F13" t="s">
        <v>97</v>
      </c>
      <c r="G13" t="s">
        <v>71</v>
      </c>
      <c r="H13" t="s">
        <v>32</v>
      </c>
      <c r="I13" t="s">
        <v>33</v>
      </c>
      <c r="J13">
        <v>4</v>
      </c>
      <c r="K13">
        <v>277000</v>
      </c>
      <c r="L13">
        <v>0</v>
      </c>
      <c r="M13">
        <v>1108000</v>
      </c>
      <c r="N13" t="s">
        <v>94</v>
      </c>
      <c r="O13" t="s">
        <v>46</v>
      </c>
      <c r="P13" t="s">
        <v>61</v>
      </c>
    </row>
    <row r="14" spans="1:16" x14ac:dyDescent="0.3">
      <c r="A14" t="s">
        <v>98</v>
      </c>
      <c r="B14" s="2">
        <v>46000</v>
      </c>
      <c r="C14" t="s">
        <v>82</v>
      </c>
      <c r="D14" t="s">
        <v>83</v>
      </c>
      <c r="E14" t="s">
        <v>84</v>
      </c>
      <c r="F14" t="s">
        <v>99</v>
      </c>
      <c r="G14" t="s">
        <v>100</v>
      </c>
      <c r="H14" t="s">
        <v>101</v>
      </c>
      <c r="I14" t="s">
        <v>102</v>
      </c>
      <c r="J14">
        <v>6</v>
      </c>
      <c r="K14">
        <v>118000</v>
      </c>
      <c r="L14">
        <v>0</v>
      </c>
      <c r="M14">
        <v>0</v>
      </c>
      <c r="N14" t="s">
        <v>103</v>
      </c>
      <c r="O14" t="s">
        <v>95</v>
      </c>
      <c r="P14" t="s">
        <v>104</v>
      </c>
    </row>
    <row r="15" spans="1:16" x14ac:dyDescent="0.3">
      <c r="A15" t="s">
        <v>105</v>
      </c>
      <c r="B15" s="2">
        <v>45862</v>
      </c>
      <c r="C15" t="s">
        <v>106</v>
      </c>
      <c r="D15" t="s">
        <v>50</v>
      </c>
      <c r="E15" t="s">
        <v>107</v>
      </c>
      <c r="F15" t="s">
        <v>108</v>
      </c>
      <c r="G15" t="s">
        <v>109</v>
      </c>
      <c r="H15" t="s">
        <v>32</v>
      </c>
      <c r="I15" t="s">
        <v>44</v>
      </c>
      <c r="J15">
        <v>4</v>
      </c>
      <c r="K15">
        <v>140000</v>
      </c>
      <c r="L15">
        <v>0.05</v>
      </c>
      <c r="M15" t="s">
        <v>110</v>
      </c>
      <c r="N15" t="s">
        <v>53</v>
      </c>
      <c r="O15" t="s">
        <v>36</v>
      </c>
      <c r="P15" t="s">
        <v>111</v>
      </c>
    </row>
    <row r="16" spans="1:16" x14ac:dyDescent="0.3">
      <c r="A16" t="s">
        <v>112</v>
      </c>
      <c r="B16" s="2">
        <v>45685</v>
      </c>
      <c r="C16" t="s">
        <v>113</v>
      </c>
      <c r="D16" t="s">
        <v>29</v>
      </c>
      <c r="E16" t="s">
        <v>84</v>
      </c>
      <c r="F16" t="s">
        <v>114</v>
      </c>
      <c r="G16" t="s">
        <v>115</v>
      </c>
      <c r="H16" t="s">
        <v>32</v>
      </c>
      <c r="I16" t="s">
        <v>58</v>
      </c>
      <c r="J16">
        <v>2</v>
      </c>
      <c r="K16">
        <v>389000</v>
      </c>
      <c r="L16">
        <v>1.5</v>
      </c>
      <c r="M16">
        <v>778000</v>
      </c>
      <c r="N16" t="s">
        <v>94</v>
      </c>
      <c r="O16" t="s">
        <v>25</v>
      </c>
      <c r="P16" t="s">
        <v>111</v>
      </c>
    </row>
    <row r="17" spans="1:16" x14ac:dyDescent="0.3">
      <c r="A17" t="s">
        <v>116</v>
      </c>
      <c r="B17" s="2">
        <v>45983</v>
      </c>
      <c r="C17" t="s">
        <v>117</v>
      </c>
      <c r="D17" t="s">
        <v>68</v>
      </c>
      <c r="E17" t="s">
        <v>118</v>
      </c>
      <c r="F17" t="s">
        <v>119</v>
      </c>
      <c r="G17" t="s">
        <v>91</v>
      </c>
      <c r="H17" t="s">
        <v>22</v>
      </c>
      <c r="I17" t="s">
        <v>92</v>
      </c>
      <c r="J17">
        <v>2</v>
      </c>
      <c r="K17">
        <v>192000</v>
      </c>
      <c r="L17">
        <v>0.05</v>
      </c>
      <c r="M17">
        <v>364800</v>
      </c>
      <c r="N17" t="s">
        <v>53</v>
      </c>
      <c r="O17" t="s">
        <v>36</v>
      </c>
      <c r="P17" t="s">
        <v>111</v>
      </c>
    </row>
    <row r="18" spans="1:16" x14ac:dyDescent="0.3">
      <c r="A18" t="s">
        <v>120</v>
      </c>
      <c r="B18" s="2">
        <v>45784</v>
      </c>
      <c r="C18" t="s">
        <v>67</v>
      </c>
      <c r="D18" t="s">
        <v>68</v>
      </c>
      <c r="E18" t="s">
        <v>69</v>
      </c>
      <c r="F18" t="s">
        <v>70</v>
      </c>
      <c r="G18" t="s">
        <v>64</v>
      </c>
      <c r="H18" t="s">
        <v>32</v>
      </c>
      <c r="I18" t="s">
        <v>65</v>
      </c>
      <c r="J18">
        <v>6</v>
      </c>
      <c r="K18">
        <v>474000</v>
      </c>
      <c r="L18">
        <v>0</v>
      </c>
      <c r="M18">
        <v>2844000</v>
      </c>
      <c r="N18" t="s">
        <v>53</v>
      </c>
      <c r="O18" t="s">
        <v>46</v>
      </c>
      <c r="P18" t="s">
        <v>121</v>
      </c>
    </row>
    <row r="19" spans="1:16" x14ac:dyDescent="0.3">
      <c r="A19" t="s">
        <v>122</v>
      </c>
      <c r="B19" s="2">
        <v>45876</v>
      </c>
      <c r="C19" t="s">
        <v>117</v>
      </c>
      <c r="D19" t="s">
        <v>68</v>
      </c>
      <c r="E19" t="s">
        <v>123</v>
      </c>
      <c r="F19" t="s">
        <v>124</v>
      </c>
      <c r="G19" t="s">
        <v>125</v>
      </c>
      <c r="H19" t="s">
        <v>32</v>
      </c>
      <c r="I19" t="s">
        <v>52</v>
      </c>
      <c r="J19">
        <v>8</v>
      </c>
      <c r="K19">
        <v>365000</v>
      </c>
      <c r="L19">
        <v>0</v>
      </c>
      <c r="M19">
        <v>2920000</v>
      </c>
      <c r="N19" t="s">
        <v>126</v>
      </c>
      <c r="O19" t="s">
        <v>60</v>
      </c>
      <c r="P19" t="s">
        <v>111</v>
      </c>
    </row>
    <row r="20" spans="1:16" x14ac:dyDescent="0.3">
      <c r="A20" t="s">
        <v>127</v>
      </c>
      <c r="B20" s="2">
        <v>45701</v>
      </c>
      <c r="C20" t="s">
        <v>39</v>
      </c>
      <c r="D20" t="s">
        <v>40</v>
      </c>
      <c r="E20" t="s">
        <v>42</v>
      </c>
      <c r="F20" t="s">
        <v>97</v>
      </c>
      <c r="G20" t="s">
        <v>128</v>
      </c>
      <c r="H20" t="s">
        <v>22</v>
      </c>
      <c r="I20" t="s">
        <v>92</v>
      </c>
      <c r="J20">
        <v>2</v>
      </c>
      <c r="K20">
        <v>188000</v>
      </c>
      <c r="L20">
        <v>0</v>
      </c>
      <c r="M20">
        <v>376000</v>
      </c>
      <c r="N20" t="s">
        <v>53</v>
      </c>
      <c r="O20" t="s">
        <v>95</v>
      </c>
      <c r="P20" t="s">
        <v>61</v>
      </c>
    </row>
    <row r="21" spans="1:16" x14ac:dyDescent="0.3">
      <c r="A21" t="s">
        <v>129</v>
      </c>
      <c r="B21" s="2">
        <v>45669</v>
      </c>
      <c r="C21" t="s">
        <v>130</v>
      </c>
      <c r="D21" t="s">
        <v>131</v>
      </c>
      <c r="E21" t="s">
        <v>132</v>
      </c>
      <c r="F21" t="s">
        <v>133</v>
      </c>
      <c r="G21" t="s">
        <v>109</v>
      </c>
      <c r="H21" t="s">
        <v>32</v>
      </c>
      <c r="I21" t="s">
        <v>44</v>
      </c>
      <c r="J21">
        <v>15</v>
      </c>
      <c r="K21">
        <v>152000</v>
      </c>
      <c r="L21">
        <v>0.02</v>
      </c>
      <c r="M21">
        <v>2234400</v>
      </c>
      <c r="N21" t="s">
        <v>103</v>
      </c>
      <c r="O21" t="s">
        <v>36</v>
      </c>
      <c r="P21" t="s">
        <v>61</v>
      </c>
    </row>
    <row r="22" spans="1:16" x14ac:dyDescent="0.3">
      <c r="A22" t="s">
        <v>134</v>
      </c>
      <c r="B22" s="2">
        <v>45896</v>
      </c>
      <c r="C22" t="s">
        <v>135</v>
      </c>
      <c r="D22" t="s">
        <v>50</v>
      </c>
      <c r="E22" t="s">
        <v>107</v>
      </c>
      <c r="F22" t="s">
        <v>108</v>
      </c>
      <c r="G22" t="s">
        <v>64</v>
      </c>
      <c r="H22" t="s">
        <v>32</v>
      </c>
      <c r="I22" t="s">
        <v>65</v>
      </c>
      <c r="J22">
        <v>9</v>
      </c>
      <c r="K22">
        <v>549000</v>
      </c>
      <c r="L22">
        <v>0.1</v>
      </c>
      <c r="M22">
        <v>4446900</v>
      </c>
      <c r="N22" t="s">
        <v>35</v>
      </c>
      <c r="O22" t="s">
        <v>36</v>
      </c>
      <c r="P22" t="s">
        <v>87</v>
      </c>
    </row>
    <row r="23" spans="1:16" x14ac:dyDescent="0.3">
      <c r="A23" t="s">
        <v>136</v>
      </c>
      <c r="B23" s="2">
        <v>45965</v>
      </c>
      <c r="C23" t="s">
        <v>106</v>
      </c>
      <c r="D23" t="s">
        <v>50</v>
      </c>
      <c r="E23" t="s">
        <v>107</v>
      </c>
      <c r="F23" t="s">
        <v>108</v>
      </c>
      <c r="G23" t="s">
        <v>137</v>
      </c>
      <c r="H23" t="s">
        <v>138</v>
      </c>
      <c r="I23" t="s">
        <v>138</v>
      </c>
      <c r="J23">
        <v>8</v>
      </c>
      <c r="K23" t="s">
        <v>139</v>
      </c>
      <c r="M23">
        <v>0</v>
      </c>
      <c r="N23" t="s">
        <v>140</v>
      </c>
      <c r="O23" t="s">
        <v>60</v>
      </c>
      <c r="P23" t="s">
        <v>141</v>
      </c>
    </row>
    <row r="24" spans="1:16" x14ac:dyDescent="0.3">
      <c r="A24" t="s">
        <v>142</v>
      </c>
      <c r="B24" s="2">
        <v>45674</v>
      </c>
      <c r="C24" t="s">
        <v>17</v>
      </c>
      <c r="D24" t="s">
        <v>18</v>
      </c>
      <c r="E24" t="s">
        <v>143</v>
      </c>
      <c r="F24" t="s">
        <v>20</v>
      </c>
      <c r="G24" t="s">
        <v>144</v>
      </c>
      <c r="H24" t="s">
        <v>32</v>
      </c>
      <c r="I24" t="s">
        <v>44</v>
      </c>
      <c r="J24">
        <v>13</v>
      </c>
      <c r="K24">
        <v>245000</v>
      </c>
      <c r="L24">
        <v>0</v>
      </c>
      <c r="M24">
        <v>3185000</v>
      </c>
      <c r="N24" t="s">
        <v>53</v>
      </c>
      <c r="O24" t="s">
        <v>145</v>
      </c>
      <c r="P24" t="s">
        <v>111</v>
      </c>
    </row>
    <row r="25" spans="1:16" x14ac:dyDescent="0.3">
      <c r="A25" t="s">
        <v>146</v>
      </c>
      <c r="B25" s="2">
        <v>45875</v>
      </c>
      <c r="C25" t="s">
        <v>147</v>
      </c>
      <c r="D25" t="s">
        <v>18</v>
      </c>
      <c r="E25" t="s">
        <v>148</v>
      </c>
      <c r="F25" t="s">
        <v>149</v>
      </c>
      <c r="G25" t="s">
        <v>74</v>
      </c>
      <c r="H25" t="s">
        <v>32</v>
      </c>
      <c r="I25" t="s">
        <v>33</v>
      </c>
      <c r="J25">
        <v>8</v>
      </c>
      <c r="K25">
        <v>95000</v>
      </c>
      <c r="L25">
        <v>0</v>
      </c>
      <c r="M25">
        <v>-760000</v>
      </c>
      <c r="N25" t="s">
        <v>86</v>
      </c>
      <c r="O25" t="s">
        <v>145</v>
      </c>
      <c r="P25" t="s">
        <v>150</v>
      </c>
    </row>
    <row r="26" spans="1:16" x14ac:dyDescent="0.3">
      <c r="A26" t="s">
        <v>151</v>
      </c>
      <c r="B26" s="2">
        <v>46001</v>
      </c>
      <c r="C26" t="s">
        <v>113</v>
      </c>
      <c r="D26" t="s">
        <v>29</v>
      </c>
      <c r="E26" t="s">
        <v>84</v>
      </c>
      <c r="F26" t="s">
        <v>152</v>
      </c>
      <c r="G26" t="s">
        <v>137</v>
      </c>
      <c r="H26" t="s">
        <v>138</v>
      </c>
      <c r="I26" t="s">
        <v>138</v>
      </c>
      <c r="J26">
        <v>15</v>
      </c>
      <c r="K26">
        <v>25000</v>
      </c>
      <c r="L26">
        <v>0</v>
      </c>
      <c r="M26">
        <v>375000</v>
      </c>
      <c r="N26" t="s">
        <v>53</v>
      </c>
      <c r="O26" t="s">
        <v>60</v>
      </c>
      <c r="P26" t="s">
        <v>54</v>
      </c>
    </row>
    <row r="27" spans="1:16" x14ac:dyDescent="0.3">
      <c r="A27" t="s">
        <v>153</v>
      </c>
      <c r="B27" s="2">
        <v>45773</v>
      </c>
      <c r="C27" t="s">
        <v>154</v>
      </c>
      <c r="D27" t="s">
        <v>131</v>
      </c>
      <c r="E27" t="s">
        <v>19</v>
      </c>
      <c r="F27" t="s">
        <v>133</v>
      </c>
      <c r="G27" t="s">
        <v>155</v>
      </c>
      <c r="H27" t="s">
        <v>101</v>
      </c>
      <c r="I27" t="s">
        <v>156</v>
      </c>
      <c r="J27">
        <v>6</v>
      </c>
      <c r="K27">
        <v>204000</v>
      </c>
      <c r="L27">
        <v>0.02</v>
      </c>
      <c r="M27" t="s">
        <v>157</v>
      </c>
      <c r="N27" t="s">
        <v>35</v>
      </c>
      <c r="O27" t="s">
        <v>75</v>
      </c>
      <c r="P27" t="s">
        <v>61</v>
      </c>
    </row>
    <row r="28" spans="1:16" x14ac:dyDescent="0.3">
      <c r="A28" t="s">
        <v>158</v>
      </c>
      <c r="B28" s="2">
        <v>45738</v>
      </c>
      <c r="C28" t="s">
        <v>159</v>
      </c>
      <c r="D28" t="s">
        <v>131</v>
      </c>
      <c r="E28" t="s">
        <v>84</v>
      </c>
      <c r="F28" t="s">
        <v>99</v>
      </c>
      <c r="G28" t="s">
        <v>160</v>
      </c>
      <c r="H28" t="s">
        <v>22</v>
      </c>
      <c r="I28" t="s">
        <v>23</v>
      </c>
      <c r="J28">
        <v>9</v>
      </c>
      <c r="K28">
        <v>72000</v>
      </c>
      <c r="L28">
        <v>0.1</v>
      </c>
      <c r="M28">
        <v>583200</v>
      </c>
      <c r="N28" t="s">
        <v>53</v>
      </c>
      <c r="O28" t="s">
        <v>25</v>
      </c>
      <c r="P28" t="s">
        <v>61</v>
      </c>
    </row>
    <row r="29" spans="1:16" x14ac:dyDescent="0.3">
      <c r="A29" t="s">
        <v>161</v>
      </c>
      <c r="B29" s="2">
        <v>45785</v>
      </c>
      <c r="C29" t="s">
        <v>89</v>
      </c>
      <c r="D29" t="s">
        <v>90</v>
      </c>
      <c r="E29" t="s">
        <v>162</v>
      </c>
      <c r="F29" t="s">
        <v>20</v>
      </c>
      <c r="G29" t="s">
        <v>137</v>
      </c>
      <c r="H29" t="s">
        <v>138</v>
      </c>
      <c r="I29" t="s">
        <v>138</v>
      </c>
      <c r="J29">
        <v>8</v>
      </c>
      <c r="K29">
        <v>26000</v>
      </c>
      <c r="L29">
        <v>0</v>
      </c>
      <c r="M29">
        <v>-208000</v>
      </c>
      <c r="N29" t="s">
        <v>163</v>
      </c>
      <c r="O29" t="s">
        <v>46</v>
      </c>
      <c r="P29" t="s">
        <v>164</v>
      </c>
    </row>
    <row r="30" spans="1:16" x14ac:dyDescent="0.3">
      <c r="A30" t="s">
        <v>165</v>
      </c>
      <c r="B30" s="2">
        <v>45703</v>
      </c>
      <c r="C30" t="s">
        <v>106</v>
      </c>
      <c r="D30" t="s">
        <v>50</v>
      </c>
      <c r="E30" t="s">
        <v>107</v>
      </c>
      <c r="F30" t="s">
        <v>108</v>
      </c>
      <c r="G30" t="s">
        <v>160</v>
      </c>
      <c r="H30" t="s">
        <v>22</v>
      </c>
      <c r="I30" t="s">
        <v>23</v>
      </c>
      <c r="J30">
        <v>1</v>
      </c>
      <c r="K30" t="s">
        <v>166</v>
      </c>
      <c r="L30">
        <v>0</v>
      </c>
      <c r="M30">
        <v>-79000</v>
      </c>
      <c r="N30" t="s">
        <v>94</v>
      </c>
      <c r="O30" t="s">
        <v>25</v>
      </c>
      <c r="P30" t="s">
        <v>164</v>
      </c>
    </row>
    <row r="31" spans="1:16" x14ac:dyDescent="0.3">
      <c r="A31" t="s">
        <v>167</v>
      </c>
      <c r="B31" s="2">
        <v>45761</v>
      </c>
      <c r="C31" t="s">
        <v>82</v>
      </c>
      <c r="D31" t="s">
        <v>83</v>
      </c>
      <c r="E31" t="s">
        <v>168</v>
      </c>
      <c r="F31" t="s">
        <v>114</v>
      </c>
      <c r="G31" t="s">
        <v>169</v>
      </c>
      <c r="H31" t="s">
        <v>22</v>
      </c>
      <c r="I31" t="s">
        <v>23</v>
      </c>
      <c r="J31">
        <v>2</v>
      </c>
      <c r="K31" t="s">
        <v>170</v>
      </c>
      <c r="L31">
        <v>0.02</v>
      </c>
      <c r="M31">
        <v>-80360</v>
      </c>
      <c r="N31" t="s">
        <v>171</v>
      </c>
      <c r="O31" t="s">
        <v>75</v>
      </c>
      <c r="P31" t="s">
        <v>150</v>
      </c>
    </row>
    <row r="32" spans="1:16" x14ac:dyDescent="0.3">
      <c r="A32" t="s">
        <v>172</v>
      </c>
      <c r="B32" s="2">
        <v>45955</v>
      </c>
      <c r="C32" t="s">
        <v>106</v>
      </c>
      <c r="D32" t="s">
        <v>50</v>
      </c>
      <c r="E32" t="s">
        <v>107</v>
      </c>
      <c r="F32" t="s">
        <v>108</v>
      </c>
      <c r="G32" t="s">
        <v>21</v>
      </c>
      <c r="H32" t="s">
        <v>22</v>
      </c>
      <c r="I32" t="s">
        <v>23</v>
      </c>
      <c r="J32">
        <v>3</v>
      </c>
      <c r="K32">
        <v>19000</v>
      </c>
      <c r="L32">
        <v>0.05</v>
      </c>
      <c r="M32">
        <v>54150</v>
      </c>
      <c r="N32" t="s">
        <v>86</v>
      </c>
      <c r="O32" t="s">
        <v>145</v>
      </c>
      <c r="P32" t="s">
        <v>54</v>
      </c>
    </row>
    <row r="33" spans="1:16" x14ac:dyDescent="0.3">
      <c r="A33" t="s">
        <v>173</v>
      </c>
      <c r="B33" s="2">
        <v>45952</v>
      </c>
      <c r="C33" t="s">
        <v>159</v>
      </c>
      <c r="D33" t="s">
        <v>131</v>
      </c>
      <c r="E33" t="s">
        <v>174</v>
      </c>
      <c r="F33" t="s">
        <v>114</v>
      </c>
      <c r="G33" t="s">
        <v>137</v>
      </c>
      <c r="H33" t="s">
        <v>138</v>
      </c>
      <c r="I33" t="s">
        <v>138</v>
      </c>
      <c r="J33">
        <v>12</v>
      </c>
      <c r="K33">
        <v>28000</v>
      </c>
      <c r="L33">
        <v>0.02</v>
      </c>
      <c r="M33">
        <v>329280</v>
      </c>
      <c r="N33" t="s">
        <v>94</v>
      </c>
      <c r="O33" t="s">
        <v>175</v>
      </c>
      <c r="P33" t="s">
        <v>54</v>
      </c>
    </row>
    <row r="34" spans="1:16" x14ac:dyDescent="0.3">
      <c r="A34" t="s">
        <v>176</v>
      </c>
      <c r="B34" s="2">
        <v>45971</v>
      </c>
      <c r="C34" t="s">
        <v>117</v>
      </c>
      <c r="D34" t="s">
        <v>68</v>
      </c>
      <c r="E34" t="s">
        <v>177</v>
      </c>
      <c r="F34" t="s">
        <v>119</v>
      </c>
      <c r="G34" t="s">
        <v>178</v>
      </c>
      <c r="H34" t="s">
        <v>101</v>
      </c>
      <c r="I34" t="s">
        <v>179</v>
      </c>
      <c r="J34">
        <v>12</v>
      </c>
      <c r="K34">
        <v>102000</v>
      </c>
      <c r="M34" t="s">
        <v>180</v>
      </c>
      <c r="N34" t="s">
        <v>94</v>
      </c>
      <c r="O34" t="s">
        <v>95</v>
      </c>
      <c r="P34" t="s">
        <v>61</v>
      </c>
    </row>
    <row r="35" spans="1:16" x14ac:dyDescent="0.3">
      <c r="A35" t="s">
        <v>181</v>
      </c>
      <c r="B35" s="2">
        <v>45706</v>
      </c>
      <c r="C35" t="s">
        <v>28</v>
      </c>
      <c r="D35" t="s">
        <v>29</v>
      </c>
      <c r="E35" t="s">
        <v>30</v>
      </c>
      <c r="F35" t="s">
        <v>20</v>
      </c>
      <c r="G35" t="s">
        <v>155</v>
      </c>
      <c r="H35" t="s">
        <v>101</v>
      </c>
      <c r="I35" t="s">
        <v>156</v>
      </c>
      <c r="J35">
        <v>15</v>
      </c>
      <c r="K35">
        <v>170000</v>
      </c>
      <c r="L35">
        <v>0.02</v>
      </c>
      <c r="M35">
        <v>2499000</v>
      </c>
      <c r="N35" t="s">
        <v>94</v>
      </c>
      <c r="O35" t="s">
        <v>75</v>
      </c>
      <c r="P35" t="s">
        <v>61</v>
      </c>
    </row>
    <row r="36" spans="1:16" x14ac:dyDescent="0.3">
      <c r="A36" t="s">
        <v>182</v>
      </c>
      <c r="B36" s="2">
        <v>45706</v>
      </c>
      <c r="C36" t="s">
        <v>82</v>
      </c>
      <c r="D36" t="s">
        <v>83</v>
      </c>
      <c r="E36" t="s">
        <v>84</v>
      </c>
      <c r="F36" t="s">
        <v>114</v>
      </c>
      <c r="G36" t="s">
        <v>74</v>
      </c>
      <c r="H36" t="s">
        <v>32</v>
      </c>
      <c r="I36" t="s">
        <v>33</v>
      </c>
      <c r="J36">
        <v>7</v>
      </c>
      <c r="K36">
        <v>75000</v>
      </c>
      <c r="L36">
        <v>0</v>
      </c>
      <c r="M36">
        <v>-525000</v>
      </c>
      <c r="N36" t="s">
        <v>53</v>
      </c>
      <c r="O36" t="s">
        <v>46</v>
      </c>
      <c r="P36" t="s">
        <v>183</v>
      </c>
    </row>
    <row r="37" spans="1:16" x14ac:dyDescent="0.3">
      <c r="A37" t="s">
        <v>184</v>
      </c>
      <c r="B37" s="2">
        <v>45822</v>
      </c>
      <c r="C37" t="s">
        <v>82</v>
      </c>
      <c r="D37" t="s">
        <v>83</v>
      </c>
      <c r="E37" t="s">
        <v>174</v>
      </c>
      <c r="F37" t="s">
        <v>114</v>
      </c>
      <c r="G37" t="s">
        <v>185</v>
      </c>
      <c r="H37" t="s">
        <v>101</v>
      </c>
      <c r="I37" t="s">
        <v>156</v>
      </c>
      <c r="J37">
        <v>8</v>
      </c>
      <c r="K37">
        <v>205000</v>
      </c>
      <c r="L37">
        <v>0.1</v>
      </c>
      <c r="M37">
        <v>1476000</v>
      </c>
      <c r="N37" t="s">
        <v>35</v>
      </c>
      <c r="O37" t="s">
        <v>46</v>
      </c>
      <c r="P37" t="s">
        <v>54</v>
      </c>
    </row>
    <row r="38" spans="1:16" x14ac:dyDescent="0.3">
      <c r="A38" t="s">
        <v>186</v>
      </c>
      <c r="B38" s="2">
        <v>45709</v>
      </c>
      <c r="C38" t="s">
        <v>159</v>
      </c>
      <c r="D38" t="s">
        <v>131</v>
      </c>
      <c r="E38" t="s">
        <v>187</v>
      </c>
      <c r="F38" t="s">
        <v>99</v>
      </c>
      <c r="G38" t="s">
        <v>109</v>
      </c>
      <c r="H38" t="s">
        <v>32</v>
      </c>
      <c r="I38" t="s">
        <v>44</v>
      </c>
      <c r="J38">
        <v>150</v>
      </c>
      <c r="K38">
        <v>134000</v>
      </c>
      <c r="L38">
        <v>0.02</v>
      </c>
      <c r="M38">
        <v>1313200</v>
      </c>
      <c r="N38" t="s">
        <v>94</v>
      </c>
      <c r="O38" t="s">
        <v>60</v>
      </c>
      <c r="P38" t="s">
        <v>61</v>
      </c>
    </row>
    <row r="39" spans="1:16" x14ac:dyDescent="0.3">
      <c r="A39" t="s">
        <v>188</v>
      </c>
      <c r="B39" s="2">
        <v>45943</v>
      </c>
      <c r="C39" t="s">
        <v>106</v>
      </c>
      <c r="D39" t="s">
        <v>50</v>
      </c>
      <c r="E39" t="s">
        <v>107</v>
      </c>
      <c r="F39" t="s">
        <v>108</v>
      </c>
      <c r="G39" t="s">
        <v>109</v>
      </c>
      <c r="H39" t="s">
        <v>32</v>
      </c>
      <c r="I39" t="s">
        <v>44</v>
      </c>
      <c r="J39">
        <v>7</v>
      </c>
      <c r="K39">
        <v>147000</v>
      </c>
      <c r="L39">
        <v>0.1</v>
      </c>
      <c r="M39">
        <v>926100</v>
      </c>
      <c r="N39" t="s">
        <v>53</v>
      </c>
      <c r="O39" t="s">
        <v>25</v>
      </c>
      <c r="P39" t="s">
        <v>61</v>
      </c>
    </row>
    <row r="40" spans="1:16" x14ac:dyDescent="0.3">
      <c r="A40" t="s">
        <v>189</v>
      </c>
      <c r="B40" s="2">
        <v>45733</v>
      </c>
      <c r="C40" t="s">
        <v>190</v>
      </c>
      <c r="D40" t="s">
        <v>191</v>
      </c>
      <c r="E40" t="s">
        <v>42</v>
      </c>
      <c r="F40" t="s">
        <v>42</v>
      </c>
      <c r="G40" t="s">
        <v>155</v>
      </c>
      <c r="H40" t="s">
        <v>101</v>
      </c>
      <c r="I40" t="s">
        <v>156</v>
      </c>
      <c r="J40">
        <v>1</v>
      </c>
      <c r="K40">
        <v>172000</v>
      </c>
      <c r="L40">
        <v>0</v>
      </c>
      <c r="M40">
        <v>172000</v>
      </c>
      <c r="N40" t="s">
        <v>35</v>
      </c>
      <c r="O40" t="s">
        <v>145</v>
      </c>
      <c r="P40" t="s">
        <v>111</v>
      </c>
    </row>
    <row r="41" spans="1:16" x14ac:dyDescent="0.3">
      <c r="A41" t="s">
        <v>192</v>
      </c>
      <c r="B41" s="2">
        <v>45691</v>
      </c>
      <c r="C41" t="s">
        <v>89</v>
      </c>
      <c r="D41" t="s">
        <v>90</v>
      </c>
      <c r="E41" t="s">
        <v>132</v>
      </c>
      <c r="F41" t="s">
        <v>20</v>
      </c>
      <c r="G41" t="s">
        <v>193</v>
      </c>
      <c r="H41" t="s">
        <v>32</v>
      </c>
      <c r="I41" t="s">
        <v>52</v>
      </c>
      <c r="J41">
        <v>4</v>
      </c>
      <c r="K41">
        <v>380000</v>
      </c>
      <c r="L41">
        <v>0</v>
      </c>
      <c r="M41">
        <v>1520000</v>
      </c>
      <c r="N41" t="s">
        <v>86</v>
      </c>
      <c r="O41" t="s">
        <v>36</v>
      </c>
      <c r="P41" t="s">
        <v>194</v>
      </c>
    </row>
    <row r="42" spans="1:16" x14ac:dyDescent="0.3">
      <c r="A42" t="s">
        <v>195</v>
      </c>
      <c r="B42" s="2">
        <v>45782</v>
      </c>
      <c r="C42" t="s">
        <v>117</v>
      </c>
      <c r="D42" t="s">
        <v>68</v>
      </c>
      <c r="E42" t="s">
        <v>177</v>
      </c>
      <c r="F42" t="s">
        <v>119</v>
      </c>
      <c r="G42" t="s">
        <v>178</v>
      </c>
      <c r="H42" t="s">
        <v>101</v>
      </c>
      <c r="I42" t="s">
        <v>179</v>
      </c>
      <c r="J42">
        <v>2</v>
      </c>
      <c r="K42">
        <v>103000</v>
      </c>
      <c r="L42">
        <v>0</v>
      </c>
      <c r="M42">
        <v>206000</v>
      </c>
      <c r="N42" t="s">
        <v>126</v>
      </c>
      <c r="O42" t="s">
        <v>25</v>
      </c>
      <c r="P42" t="s">
        <v>61</v>
      </c>
    </row>
    <row r="43" spans="1:16" x14ac:dyDescent="0.3">
      <c r="A43" t="s">
        <v>196</v>
      </c>
      <c r="B43" s="2">
        <v>46005</v>
      </c>
      <c r="C43" t="s">
        <v>82</v>
      </c>
      <c r="D43" t="s">
        <v>83</v>
      </c>
      <c r="E43" t="s">
        <v>84</v>
      </c>
      <c r="F43" t="s">
        <v>114</v>
      </c>
      <c r="G43" t="s">
        <v>125</v>
      </c>
      <c r="H43" t="s">
        <v>32</v>
      </c>
      <c r="I43" t="s">
        <v>52</v>
      </c>
      <c r="J43">
        <v>8</v>
      </c>
      <c r="K43" t="s">
        <v>197</v>
      </c>
      <c r="L43">
        <v>0.05</v>
      </c>
      <c r="M43">
        <v>2424400</v>
      </c>
      <c r="N43" t="s">
        <v>94</v>
      </c>
      <c r="O43" t="s">
        <v>95</v>
      </c>
      <c r="P43" t="s">
        <v>198</v>
      </c>
    </row>
    <row r="44" spans="1:16" x14ac:dyDescent="0.3">
      <c r="A44" t="s">
        <v>199</v>
      </c>
      <c r="B44" s="2">
        <v>45748</v>
      </c>
      <c r="C44" t="s">
        <v>190</v>
      </c>
      <c r="D44" t="s">
        <v>191</v>
      </c>
      <c r="E44" t="s">
        <v>41</v>
      </c>
      <c r="F44" t="s">
        <v>77</v>
      </c>
      <c r="G44" t="s">
        <v>128</v>
      </c>
      <c r="H44" t="s">
        <v>22</v>
      </c>
      <c r="I44" t="s">
        <v>92</v>
      </c>
      <c r="J44">
        <v>13</v>
      </c>
      <c r="K44">
        <v>205000</v>
      </c>
      <c r="L44">
        <v>0</v>
      </c>
      <c r="M44">
        <v>2665000</v>
      </c>
      <c r="N44" t="s">
        <v>94</v>
      </c>
      <c r="O44" t="s">
        <v>25</v>
      </c>
      <c r="P44" t="s">
        <v>61</v>
      </c>
    </row>
    <row r="45" spans="1:16" x14ac:dyDescent="0.3">
      <c r="A45" t="s">
        <v>200</v>
      </c>
      <c r="B45" s="2">
        <v>45722</v>
      </c>
      <c r="C45" t="s">
        <v>49</v>
      </c>
      <c r="D45" t="s">
        <v>50</v>
      </c>
      <c r="E45" t="s">
        <v>19</v>
      </c>
      <c r="F45" t="s">
        <v>73</v>
      </c>
      <c r="G45" t="s">
        <v>169</v>
      </c>
      <c r="H45" t="s">
        <v>22</v>
      </c>
      <c r="I45" t="s">
        <v>23</v>
      </c>
      <c r="J45">
        <v>12</v>
      </c>
      <c r="K45" t="s">
        <v>170</v>
      </c>
      <c r="L45">
        <v>0</v>
      </c>
      <c r="M45" t="s">
        <v>201</v>
      </c>
      <c r="N45" t="s">
        <v>86</v>
      </c>
      <c r="O45" t="s">
        <v>95</v>
      </c>
      <c r="P45" t="s">
        <v>111</v>
      </c>
    </row>
    <row r="46" spans="1:16" x14ac:dyDescent="0.3">
      <c r="A46" t="s">
        <v>202</v>
      </c>
      <c r="B46" s="2">
        <v>46005</v>
      </c>
      <c r="C46" t="s">
        <v>28</v>
      </c>
      <c r="D46" t="s">
        <v>29</v>
      </c>
      <c r="E46" t="s">
        <v>30</v>
      </c>
      <c r="F46" t="s">
        <v>203</v>
      </c>
      <c r="G46" t="s">
        <v>204</v>
      </c>
      <c r="H46" t="s">
        <v>101</v>
      </c>
      <c r="I46" t="s">
        <v>156</v>
      </c>
      <c r="J46">
        <v>1</v>
      </c>
      <c r="K46">
        <v>142000</v>
      </c>
      <c r="L46">
        <v>0.1</v>
      </c>
      <c r="M46" t="s">
        <v>34</v>
      </c>
      <c r="N46" t="s">
        <v>53</v>
      </c>
      <c r="O46" t="s">
        <v>36</v>
      </c>
      <c r="P46" t="s">
        <v>141</v>
      </c>
    </row>
    <row r="47" spans="1:16" x14ac:dyDescent="0.3">
      <c r="A47" t="s">
        <v>205</v>
      </c>
      <c r="B47" s="2">
        <v>45687</v>
      </c>
      <c r="C47" t="s">
        <v>113</v>
      </c>
      <c r="D47" t="s">
        <v>29</v>
      </c>
      <c r="E47" t="s">
        <v>84</v>
      </c>
      <c r="F47" t="s">
        <v>85</v>
      </c>
      <c r="G47" t="s">
        <v>137</v>
      </c>
      <c r="H47" t="s">
        <v>138</v>
      </c>
      <c r="I47" t="s">
        <v>138</v>
      </c>
      <c r="J47">
        <v>12</v>
      </c>
      <c r="K47">
        <v>25000</v>
      </c>
      <c r="L47">
        <v>0</v>
      </c>
      <c r="M47">
        <v>-300000</v>
      </c>
      <c r="O47" t="s">
        <v>60</v>
      </c>
      <c r="P47" t="s">
        <v>183</v>
      </c>
    </row>
    <row r="48" spans="1:16" x14ac:dyDescent="0.3">
      <c r="A48" t="s">
        <v>206</v>
      </c>
      <c r="B48" s="2">
        <v>45997</v>
      </c>
      <c r="C48" t="s">
        <v>154</v>
      </c>
      <c r="D48" t="s">
        <v>131</v>
      </c>
      <c r="E48" t="s">
        <v>19</v>
      </c>
      <c r="F48" t="s">
        <v>133</v>
      </c>
      <c r="G48" t="s">
        <v>64</v>
      </c>
      <c r="H48" t="s">
        <v>32</v>
      </c>
      <c r="I48" t="s">
        <v>65</v>
      </c>
      <c r="J48">
        <v>6</v>
      </c>
      <c r="K48">
        <v>583000</v>
      </c>
      <c r="L48">
        <v>0.02</v>
      </c>
      <c r="M48">
        <v>3428040</v>
      </c>
      <c r="N48" t="s">
        <v>53</v>
      </c>
      <c r="O48" t="s">
        <v>145</v>
      </c>
      <c r="P48" t="s">
        <v>61</v>
      </c>
    </row>
    <row r="49" spans="1:16" x14ac:dyDescent="0.3">
      <c r="A49" t="s">
        <v>188</v>
      </c>
      <c r="B49" s="2">
        <v>45943</v>
      </c>
      <c r="C49" t="s">
        <v>106</v>
      </c>
      <c r="D49" t="s">
        <v>50</v>
      </c>
      <c r="E49" t="s">
        <v>107</v>
      </c>
      <c r="F49" t="s">
        <v>108</v>
      </c>
      <c r="G49" t="s">
        <v>109</v>
      </c>
      <c r="H49" t="s">
        <v>32</v>
      </c>
      <c r="I49" t="s">
        <v>44</v>
      </c>
      <c r="J49">
        <v>7</v>
      </c>
      <c r="K49">
        <v>147000</v>
      </c>
      <c r="L49">
        <v>0.1</v>
      </c>
      <c r="M49">
        <v>926100</v>
      </c>
      <c r="N49" t="s">
        <v>53</v>
      </c>
      <c r="O49" t="s">
        <v>25</v>
      </c>
      <c r="P49" t="s">
        <v>61</v>
      </c>
    </row>
    <row r="50" spans="1:16" x14ac:dyDescent="0.3">
      <c r="A50" t="s">
        <v>207</v>
      </c>
      <c r="B50" s="2">
        <v>45905</v>
      </c>
      <c r="C50" t="s">
        <v>89</v>
      </c>
      <c r="D50" t="s">
        <v>90</v>
      </c>
      <c r="E50" t="s">
        <v>143</v>
      </c>
      <c r="F50" t="s">
        <v>203</v>
      </c>
      <c r="G50" t="s">
        <v>208</v>
      </c>
      <c r="H50" t="s">
        <v>209</v>
      </c>
      <c r="I50" t="s">
        <v>65</v>
      </c>
      <c r="J50">
        <v>11</v>
      </c>
      <c r="K50">
        <v>105000</v>
      </c>
      <c r="L50">
        <v>0</v>
      </c>
      <c r="M50">
        <v>1155000</v>
      </c>
      <c r="N50" t="s">
        <v>140</v>
      </c>
      <c r="O50" t="s">
        <v>60</v>
      </c>
      <c r="P50" t="s">
        <v>87</v>
      </c>
    </row>
    <row r="51" spans="1:16" x14ac:dyDescent="0.3">
      <c r="A51" t="s">
        <v>210</v>
      </c>
      <c r="B51" s="2">
        <v>45667</v>
      </c>
      <c r="C51" t="s">
        <v>63</v>
      </c>
      <c r="D51" t="s">
        <v>18</v>
      </c>
      <c r="E51" t="s">
        <v>97</v>
      </c>
      <c r="F51" t="s">
        <v>77</v>
      </c>
      <c r="G51" t="s">
        <v>208</v>
      </c>
      <c r="H51" t="s">
        <v>209</v>
      </c>
      <c r="I51" t="s">
        <v>65</v>
      </c>
      <c r="J51">
        <v>14</v>
      </c>
      <c r="K51">
        <v>87000</v>
      </c>
      <c r="L51">
        <v>0</v>
      </c>
      <c r="M51">
        <v>1218000</v>
      </c>
      <c r="N51" t="s">
        <v>24</v>
      </c>
      <c r="O51" t="s">
        <v>175</v>
      </c>
      <c r="P51" t="s">
        <v>61</v>
      </c>
    </row>
    <row r="52" spans="1:16" x14ac:dyDescent="0.3">
      <c r="A52" t="s">
        <v>211</v>
      </c>
      <c r="B52" s="2">
        <v>45906</v>
      </c>
      <c r="C52" t="s">
        <v>154</v>
      </c>
      <c r="D52" t="s">
        <v>131</v>
      </c>
      <c r="E52" t="s">
        <v>162</v>
      </c>
      <c r="F52" t="s">
        <v>203</v>
      </c>
      <c r="G52" t="s">
        <v>64</v>
      </c>
      <c r="H52" t="s">
        <v>32</v>
      </c>
      <c r="I52" t="s">
        <v>65</v>
      </c>
      <c r="J52">
        <v>15</v>
      </c>
      <c r="K52">
        <v>467000</v>
      </c>
      <c r="L52">
        <v>0</v>
      </c>
      <c r="M52">
        <v>7005000</v>
      </c>
      <c r="N52" t="s">
        <v>79</v>
      </c>
      <c r="O52" t="s">
        <v>75</v>
      </c>
      <c r="P52" t="s">
        <v>54</v>
      </c>
    </row>
    <row r="53" spans="1:16" x14ac:dyDescent="0.3">
      <c r="A53" t="s">
        <v>212</v>
      </c>
      <c r="B53" s="2">
        <v>45788</v>
      </c>
      <c r="C53" t="s">
        <v>154</v>
      </c>
      <c r="D53" t="s">
        <v>131</v>
      </c>
      <c r="E53" t="s">
        <v>19</v>
      </c>
      <c r="F53" t="s">
        <v>20</v>
      </c>
      <c r="G53" t="s">
        <v>178</v>
      </c>
      <c r="H53" t="s">
        <v>101</v>
      </c>
      <c r="I53" t="s">
        <v>179</v>
      </c>
      <c r="J53">
        <v>5</v>
      </c>
      <c r="K53">
        <v>91000</v>
      </c>
      <c r="L53">
        <v>0</v>
      </c>
      <c r="M53">
        <v>-455000</v>
      </c>
      <c r="N53" t="s">
        <v>53</v>
      </c>
      <c r="P53" t="s">
        <v>164</v>
      </c>
    </row>
    <row r="54" spans="1:16" x14ac:dyDescent="0.3">
      <c r="A54" t="s">
        <v>213</v>
      </c>
      <c r="B54" s="2">
        <v>45812</v>
      </c>
      <c r="C54" t="s">
        <v>214</v>
      </c>
      <c r="D54" t="s">
        <v>102</v>
      </c>
      <c r="E54" t="s">
        <v>143</v>
      </c>
      <c r="F54" t="s">
        <v>20</v>
      </c>
      <c r="G54" t="s">
        <v>204</v>
      </c>
      <c r="H54" t="s">
        <v>101</v>
      </c>
      <c r="I54" t="s">
        <v>156</v>
      </c>
      <c r="J54">
        <v>14</v>
      </c>
      <c r="K54">
        <v>167000</v>
      </c>
      <c r="L54">
        <v>0</v>
      </c>
      <c r="M54" t="s">
        <v>215</v>
      </c>
      <c r="N54" t="s">
        <v>126</v>
      </c>
      <c r="O54" t="s">
        <v>145</v>
      </c>
      <c r="P54" t="s">
        <v>121</v>
      </c>
    </row>
    <row r="55" spans="1:16" x14ac:dyDescent="0.3">
      <c r="A55" t="s">
        <v>216</v>
      </c>
      <c r="B55" s="2">
        <v>45978</v>
      </c>
      <c r="C55" t="s">
        <v>63</v>
      </c>
      <c r="D55" t="s">
        <v>18</v>
      </c>
      <c r="E55" t="s">
        <v>77</v>
      </c>
      <c r="F55" t="s">
        <v>42</v>
      </c>
      <c r="G55" t="s">
        <v>169</v>
      </c>
      <c r="H55" t="s">
        <v>22</v>
      </c>
      <c r="I55" t="s">
        <v>23</v>
      </c>
      <c r="J55">
        <v>3</v>
      </c>
      <c r="K55">
        <v>41000</v>
      </c>
      <c r="L55">
        <v>0.05</v>
      </c>
      <c r="M55">
        <v>-116850</v>
      </c>
      <c r="N55" t="s">
        <v>86</v>
      </c>
      <c r="O55" t="s">
        <v>36</v>
      </c>
      <c r="P55" t="s">
        <v>164</v>
      </c>
    </row>
    <row r="56" spans="1:16" x14ac:dyDescent="0.3">
      <c r="A56" t="s">
        <v>217</v>
      </c>
      <c r="B56" s="2">
        <v>45950</v>
      </c>
      <c r="C56" t="s">
        <v>82</v>
      </c>
      <c r="D56" t="s">
        <v>83</v>
      </c>
      <c r="E56" t="s">
        <v>168</v>
      </c>
      <c r="F56" t="s">
        <v>114</v>
      </c>
      <c r="G56" t="s">
        <v>218</v>
      </c>
      <c r="H56" t="s">
        <v>32</v>
      </c>
      <c r="I56" t="s">
        <v>33</v>
      </c>
      <c r="J56">
        <v>12</v>
      </c>
      <c r="K56">
        <v>78000</v>
      </c>
      <c r="L56">
        <v>0.05</v>
      </c>
      <c r="M56">
        <v>889200</v>
      </c>
      <c r="N56" t="s">
        <v>35</v>
      </c>
      <c r="O56" t="s">
        <v>46</v>
      </c>
      <c r="P56" t="s">
        <v>54</v>
      </c>
    </row>
    <row r="57" spans="1:16" x14ac:dyDescent="0.3">
      <c r="A57" t="s">
        <v>219</v>
      </c>
      <c r="B57" s="2">
        <v>45940</v>
      </c>
      <c r="C57" t="s">
        <v>49</v>
      </c>
      <c r="D57" t="s">
        <v>50</v>
      </c>
      <c r="E57" t="s">
        <v>143</v>
      </c>
      <c r="F57" t="s">
        <v>20</v>
      </c>
      <c r="G57" t="s">
        <v>137</v>
      </c>
      <c r="H57" t="s">
        <v>138</v>
      </c>
      <c r="I57" t="s">
        <v>138</v>
      </c>
      <c r="J57">
        <v>5</v>
      </c>
      <c r="K57">
        <v>27000</v>
      </c>
      <c r="L57">
        <v>0</v>
      </c>
      <c r="M57">
        <v>135000</v>
      </c>
      <c r="N57" t="s">
        <v>53</v>
      </c>
      <c r="O57" t="s">
        <v>25</v>
      </c>
      <c r="P57" t="s">
        <v>87</v>
      </c>
    </row>
    <row r="58" spans="1:16" x14ac:dyDescent="0.3">
      <c r="A58" t="s">
        <v>220</v>
      </c>
      <c r="B58" s="2">
        <v>45928</v>
      </c>
      <c r="C58" t="s">
        <v>106</v>
      </c>
      <c r="D58" t="s">
        <v>50</v>
      </c>
      <c r="E58" t="s">
        <v>107</v>
      </c>
      <c r="F58" t="s">
        <v>108</v>
      </c>
      <c r="G58" t="s">
        <v>160</v>
      </c>
      <c r="H58" t="s">
        <v>22</v>
      </c>
      <c r="I58" t="s">
        <v>23</v>
      </c>
      <c r="J58">
        <v>6</v>
      </c>
      <c r="K58">
        <v>68000</v>
      </c>
      <c r="L58">
        <v>0.02</v>
      </c>
      <c r="M58">
        <v>399840</v>
      </c>
      <c r="N58" t="s">
        <v>94</v>
      </c>
      <c r="O58" t="s">
        <v>95</v>
      </c>
      <c r="P58" t="s">
        <v>61</v>
      </c>
    </row>
    <row r="59" spans="1:16" x14ac:dyDescent="0.3">
      <c r="A59" t="s">
        <v>221</v>
      </c>
      <c r="B59" s="2">
        <v>45956</v>
      </c>
      <c r="C59" t="s">
        <v>190</v>
      </c>
      <c r="D59" t="s">
        <v>191</v>
      </c>
      <c r="E59" t="s">
        <v>42</v>
      </c>
      <c r="F59" t="s">
        <v>42</v>
      </c>
      <c r="G59" t="s">
        <v>57</v>
      </c>
      <c r="H59" t="s">
        <v>32</v>
      </c>
      <c r="I59" t="s">
        <v>58</v>
      </c>
      <c r="J59">
        <v>10</v>
      </c>
      <c r="K59">
        <v>616000</v>
      </c>
      <c r="L59">
        <v>0</v>
      </c>
      <c r="M59">
        <v>6160000</v>
      </c>
      <c r="N59" t="s">
        <v>53</v>
      </c>
      <c r="O59" t="s">
        <v>175</v>
      </c>
      <c r="P59" t="s">
        <v>87</v>
      </c>
    </row>
    <row r="60" spans="1:16" x14ac:dyDescent="0.3">
      <c r="A60" t="s">
        <v>222</v>
      </c>
      <c r="B60" s="2">
        <v>45820</v>
      </c>
      <c r="C60" t="s">
        <v>147</v>
      </c>
      <c r="D60" t="s">
        <v>18</v>
      </c>
      <c r="E60" t="s">
        <v>148</v>
      </c>
      <c r="F60" t="s">
        <v>149</v>
      </c>
      <c r="G60" t="s">
        <v>169</v>
      </c>
      <c r="H60" t="s">
        <v>22</v>
      </c>
      <c r="I60" t="s">
        <v>23</v>
      </c>
      <c r="J60">
        <v>2</v>
      </c>
      <c r="K60">
        <v>39000</v>
      </c>
      <c r="L60">
        <v>0</v>
      </c>
      <c r="M60">
        <v>-78000</v>
      </c>
      <c r="N60" t="s">
        <v>35</v>
      </c>
      <c r="O60" t="s">
        <v>25</v>
      </c>
      <c r="P60" t="s">
        <v>183</v>
      </c>
    </row>
    <row r="61" spans="1:16" x14ac:dyDescent="0.3">
      <c r="A61" t="s">
        <v>223</v>
      </c>
      <c r="B61" s="2">
        <v>45793</v>
      </c>
      <c r="C61" t="s">
        <v>117</v>
      </c>
      <c r="D61" t="s">
        <v>68</v>
      </c>
      <c r="E61" t="s">
        <v>224</v>
      </c>
      <c r="F61" t="s">
        <v>225</v>
      </c>
      <c r="G61" t="s">
        <v>193</v>
      </c>
      <c r="H61" t="s">
        <v>32</v>
      </c>
      <c r="I61" t="s">
        <v>52</v>
      </c>
      <c r="J61">
        <v>1</v>
      </c>
      <c r="K61">
        <v>395000</v>
      </c>
      <c r="L61">
        <v>0</v>
      </c>
      <c r="M61">
        <v>0</v>
      </c>
      <c r="N61" t="s">
        <v>94</v>
      </c>
      <c r="O61" t="s">
        <v>145</v>
      </c>
      <c r="P61" t="s">
        <v>141</v>
      </c>
    </row>
    <row r="62" spans="1:16" x14ac:dyDescent="0.3">
      <c r="A62" t="s">
        <v>226</v>
      </c>
      <c r="B62" s="2">
        <v>45973</v>
      </c>
      <c r="C62" t="s">
        <v>135</v>
      </c>
      <c r="D62" t="s">
        <v>50</v>
      </c>
      <c r="E62" t="s">
        <v>107</v>
      </c>
      <c r="F62" t="s">
        <v>108</v>
      </c>
      <c r="G62" t="s">
        <v>204</v>
      </c>
      <c r="H62" t="s">
        <v>101</v>
      </c>
      <c r="I62" t="s">
        <v>156</v>
      </c>
      <c r="J62">
        <v>4</v>
      </c>
      <c r="K62">
        <v>171000</v>
      </c>
      <c r="L62">
        <v>0</v>
      </c>
      <c r="M62">
        <v>684000</v>
      </c>
      <c r="N62" t="s">
        <v>171</v>
      </c>
      <c r="O62" t="s">
        <v>25</v>
      </c>
      <c r="P62" t="s">
        <v>61</v>
      </c>
    </row>
    <row r="63" spans="1:16" x14ac:dyDescent="0.3">
      <c r="A63" t="s">
        <v>227</v>
      </c>
      <c r="B63" s="2">
        <v>45805</v>
      </c>
      <c r="C63" t="s">
        <v>106</v>
      </c>
      <c r="D63" t="s">
        <v>50</v>
      </c>
      <c r="E63" t="s">
        <v>107</v>
      </c>
      <c r="F63" t="s">
        <v>108</v>
      </c>
      <c r="G63" t="s">
        <v>144</v>
      </c>
      <c r="H63" t="s">
        <v>32</v>
      </c>
      <c r="I63" t="s">
        <v>44</v>
      </c>
      <c r="J63">
        <v>2</v>
      </c>
      <c r="K63" t="s">
        <v>228</v>
      </c>
      <c r="L63">
        <v>0</v>
      </c>
      <c r="M63">
        <v>-468000</v>
      </c>
      <c r="N63" t="s">
        <v>53</v>
      </c>
      <c r="O63" t="s">
        <v>36</v>
      </c>
      <c r="P63" t="s">
        <v>164</v>
      </c>
    </row>
    <row r="64" spans="1:16" x14ac:dyDescent="0.3">
      <c r="A64" t="s">
        <v>229</v>
      </c>
      <c r="B64" s="2">
        <v>45877</v>
      </c>
      <c r="C64" t="s">
        <v>82</v>
      </c>
      <c r="D64" t="s">
        <v>83</v>
      </c>
      <c r="E64" t="s">
        <v>187</v>
      </c>
      <c r="F64" t="s">
        <v>85</v>
      </c>
      <c r="G64" t="s">
        <v>208</v>
      </c>
      <c r="H64" t="s">
        <v>209</v>
      </c>
      <c r="I64" t="s">
        <v>65</v>
      </c>
      <c r="J64">
        <v>10</v>
      </c>
      <c r="K64" t="s">
        <v>230</v>
      </c>
      <c r="L64">
        <v>0</v>
      </c>
      <c r="M64" t="s">
        <v>34</v>
      </c>
      <c r="N64" t="s">
        <v>53</v>
      </c>
      <c r="O64" t="s">
        <v>145</v>
      </c>
      <c r="P64" t="s">
        <v>104</v>
      </c>
    </row>
    <row r="65" spans="1:16" x14ac:dyDescent="0.3">
      <c r="A65" t="s">
        <v>231</v>
      </c>
      <c r="B65" s="2">
        <v>45674</v>
      </c>
      <c r="C65" t="s">
        <v>39</v>
      </c>
      <c r="D65" t="s">
        <v>40</v>
      </c>
      <c r="E65" t="s">
        <v>77</v>
      </c>
      <c r="F65" t="s">
        <v>42</v>
      </c>
      <c r="G65" t="s">
        <v>71</v>
      </c>
      <c r="H65" t="s">
        <v>32</v>
      </c>
      <c r="I65" t="s">
        <v>33</v>
      </c>
      <c r="J65">
        <v>14</v>
      </c>
      <c r="K65">
        <v>335000</v>
      </c>
      <c r="L65">
        <v>0.02</v>
      </c>
      <c r="M65">
        <v>4596200</v>
      </c>
      <c r="N65" t="s">
        <v>35</v>
      </c>
      <c r="O65" t="s">
        <v>75</v>
      </c>
      <c r="P65" t="s">
        <v>54</v>
      </c>
    </row>
    <row r="66" spans="1:16" x14ac:dyDescent="0.3">
      <c r="A66" t="s">
        <v>232</v>
      </c>
      <c r="B66" s="2">
        <v>45854</v>
      </c>
      <c r="C66" t="s">
        <v>39</v>
      </c>
      <c r="D66" t="s">
        <v>40</v>
      </c>
      <c r="E66" t="s">
        <v>97</v>
      </c>
      <c r="F66" t="s">
        <v>97</v>
      </c>
      <c r="G66" t="s">
        <v>21</v>
      </c>
      <c r="H66" t="s">
        <v>22</v>
      </c>
      <c r="I66" t="s">
        <v>23</v>
      </c>
      <c r="J66">
        <v>8</v>
      </c>
      <c r="K66">
        <v>16000</v>
      </c>
      <c r="L66">
        <v>0.02</v>
      </c>
      <c r="M66">
        <v>125440</v>
      </c>
      <c r="N66" t="s">
        <v>94</v>
      </c>
      <c r="O66" t="s">
        <v>175</v>
      </c>
      <c r="P66" t="s">
        <v>61</v>
      </c>
    </row>
    <row r="67" spans="1:16" x14ac:dyDescent="0.3">
      <c r="A67" t="s">
        <v>233</v>
      </c>
      <c r="B67" s="2">
        <v>45899</v>
      </c>
      <c r="C67" t="s">
        <v>135</v>
      </c>
      <c r="D67" t="s">
        <v>50</v>
      </c>
      <c r="E67" t="s">
        <v>107</v>
      </c>
      <c r="F67" t="s">
        <v>108</v>
      </c>
      <c r="G67" t="s">
        <v>64</v>
      </c>
      <c r="H67" t="s">
        <v>32</v>
      </c>
      <c r="I67" t="s">
        <v>65</v>
      </c>
      <c r="J67">
        <v>5</v>
      </c>
      <c r="K67">
        <v>588000</v>
      </c>
      <c r="L67">
        <v>0.1</v>
      </c>
      <c r="M67" t="s">
        <v>34</v>
      </c>
      <c r="N67" t="s">
        <v>94</v>
      </c>
      <c r="O67" t="s">
        <v>25</v>
      </c>
      <c r="P67" t="s">
        <v>26</v>
      </c>
    </row>
    <row r="68" spans="1:16" x14ac:dyDescent="0.3">
      <c r="A68" t="s">
        <v>234</v>
      </c>
      <c r="B68" s="2">
        <v>45876</v>
      </c>
      <c r="C68" t="s">
        <v>56</v>
      </c>
      <c r="D68" t="s">
        <v>18</v>
      </c>
      <c r="E68" t="s">
        <v>42</v>
      </c>
      <c r="F68" t="s">
        <v>42</v>
      </c>
      <c r="G68" t="s">
        <v>235</v>
      </c>
      <c r="H68" t="s">
        <v>101</v>
      </c>
      <c r="I68" t="s">
        <v>156</v>
      </c>
      <c r="J68">
        <v>14</v>
      </c>
      <c r="K68">
        <v>187000</v>
      </c>
      <c r="L68">
        <v>0</v>
      </c>
      <c r="M68" t="s">
        <v>236</v>
      </c>
      <c r="N68" t="s">
        <v>103</v>
      </c>
      <c r="O68" t="s">
        <v>75</v>
      </c>
      <c r="P68" t="s">
        <v>150</v>
      </c>
    </row>
    <row r="69" spans="1:16" x14ac:dyDescent="0.3">
      <c r="A69" t="s">
        <v>237</v>
      </c>
      <c r="B69" s="2">
        <v>45807</v>
      </c>
      <c r="C69" t="s">
        <v>28</v>
      </c>
      <c r="D69" t="s">
        <v>29</v>
      </c>
      <c r="E69" t="s">
        <v>30</v>
      </c>
      <c r="F69" t="s">
        <v>20</v>
      </c>
      <c r="G69" t="s">
        <v>137</v>
      </c>
      <c r="H69" t="s">
        <v>138</v>
      </c>
      <c r="I69" t="s">
        <v>138</v>
      </c>
      <c r="J69">
        <v>2</v>
      </c>
      <c r="K69">
        <v>30000</v>
      </c>
      <c r="L69">
        <v>0</v>
      </c>
      <c r="M69">
        <v>60000</v>
      </c>
      <c r="N69" t="s">
        <v>126</v>
      </c>
      <c r="O69" t="s">
        <v>25</v>
      </c>
      <c r="P69" t="s">
        <v>111</v>
      </c>
    </row>
    <row r="70" spans="1:16" x14ac:dyDescent="0.3">
      <c r="A70" t="s">
        <v>238</v>
      </c>
      <c r="B70" s="2">
        <v>45859</v>
      </c>
      <c r="C70" t="s">
        <v>147</v>
      </c>
      <c r="D70" t="s">
        <v>18</v>
      </c>
      <c r="E70" t="s">
        <v>148</v>
      </c>
      <c r="F70" t="s">
        <v>149</v>
      </c>
      <c r="G70" t="s">
        <v>235</v>
      </c>
      <c r="H70" t="s">
        <v>101</v>
      </c>
      <c r="I70" t="s">
        <v>156</v>
      </c>
      <c r="J70">
        <v>5</v>
      </c>
      <c r="K70">
        <v>205000</v>
      </c>
      <c r="L70">
        <v>0.05</v>
      </c>
      <c r="M70">
        <v>-973750</v>
      </c>
      <c r="N70" t="s">
        <v>94</v>
      </c>
      <c r="O70" t="s">
        <v>46</v>
      </c>
      <c r="P70" t="s">
        <v>183</v>
      </c>
    </row>
    <row r="71" spans="1:16" x14ac:dyDescent="0.3">
      <c r="A71" t="s">
        <v>239</v>
      </c>
      <c r="B71" s="2">
        <v>45735</v>
      </c>
      <c r="C71" t="s">
        <v>49</v>
      </c>
      <c r="D71" t="s">
        <v>50</v>
      </c>
      <c r="E71" t="s">
        <v>162</v>
      </c>
      <c r="F71" t="s">
        <v>73</v>
      </c>
      <c r="G71" t="s">
        <v>71</v>
      </c>
      <c r="H71" t="s">
        <v>32</v>
      </c>
      <c r="I71" t="s">
        <v>33</v>
      </c>
      <c r="J71">
        <v>13</v>
      </c>
      <c r="K71">
        <v>285000</v>
      </c>
      <c r="L71">
        <v>0.05</v>
      </c>
      <c r="M71">
        <v>3519750</v>
      </c>
      <c r="N71" t="s">
        <v>35</v>
      </c>
      <c r="O71" t="s">
        <v>25</v>
      </c>
      <c r="P71" t="s">
        <v>61</v>
      </c>
    </row>
    <row r="72" spans="1:16" x14ac:dyDescent="0.3">
      <c r="A72" t="s">
        <v>240</v>
      </c>
      <c r="B72" s="2">
        <v>45692</v>
      </c>
      <c r="C72" t="s">
        <v>130</v>
      </c>
      <c r="D72" t="s">
        <v>131</v>
      </c>
      <c r="E72" t="s">
        <v>132</v>
      </c>
      <c r="F72" t="s">
        <v>20</v>
      </c>
      <c r="G72" t="s">
        <v>204</v>
      </c>
      <c r="H72" t="s">
        <v>101</v>
      </c>
      <c r="I72" t="s">
        <v>156</v>
      </c>
      <c r="J72">
        <v>10</v>
      </c>
      <c r="K72">
        <v>155000</v>
      </c>
      <c r="L72">
        <v>0.1</v>
      </c>
      <c r="M72">
        <v>1395000</v>
      </c>
      <c r="N72" t="s">
        <v>35</v>
      </c>
      <c r="O72" t="s">
        <v>46</v>
      </c>
      <c r="P72" t="s">
        <v>61</v>
      </c>
    </row>
    <row r="73" spans="1:16" x14ac:dyDescent="0.3">
      <c r="A73" t="s">
        <v>241</v>
      </c>
      <c r="B73" s="2">
        <v>45892</v>
      </c>
      <c r="C73" t="s">
        <v>159</v>
      </c>
      <c r="D73" t="s">
        <v>131</v>
      </c>
      <c r="E73" t="s">
        <v>84</v>
      </c>
      <c r="F73" t="s">
        <v>152</v>
      </c>
      <c r="G73" t="s">
        <v>125</v>
      </c>
      <c r="H73" t="s">
        <v>32</v>
      </c>
      <c r="I73" t="s">
        <v>52</v>
      </c>
      <c r="J73">
        <v>10</v>
      </c>
      <c r="K73">
        <v>394000</v>
      </c>
      <c r="L73">
        <v>0.05</v>
      </c>
      <c r="M73">
        <v>-3743000</v>
      </c>
      <c r="N73" t="s">
        <v>53</v>
      </c>
      <c r="O73" t="s">
        <v>60</v>
      </c>
      <c r="P73" t="s">
        <v>164</v>
      </c>
    </row>
    <row r="74" spans="1:16" x14ac:dyDescent="0.3">
      <c r="A74" t="s">
        <v>242</v>
      </c>
      <c r="B74" s="2">
        <v>45883</v>
      </c>
      <c r="C74" t="s">
        <v>214</v>
      </c>
      <c r="D74" t="s">
        <v>102</v>
      </c>
      <c r="E74" t="s">
        <v>132</v>
      </c>
      <c r="F74" t="s">
        <v>20</v>
      </c>
      <c r="G74" t="s">
        <v>243</v>
      </c>
      <c r="H74" t="s">
        <v>32</v>
      </c>
      <c r="I74" t="s">
        <v>52</v>
      </c>
      <c r="J74">
        <v>6</v>
      </c>
      <c r="K74">
        <v>353000</v>
      </c>
      <c r="L74">
        <v>0</v>
      </c>
      <c r="M74">
        <v>2118000</v>
      </c>
      <c r="N74" t="s">
        <v>53</v>
      </c>
      <c r="O74" t="s">
        <v>25</v>
      </c>
      <c r="P74" t="s">
        <v>244</v>
      </c>
    </row>
    <row r="75" spans="1:16" x14ac:dyDescent="0.3">
      <c r="A75" t="s">
        <v>245</v>
      </c>
      <c r="B75" s="2">
        <v>45903</v>
      </c>
      <c r="C75" t="s">
        <v>67</v>
      </c>
      <c r="D75" t="s">
        <v>68</v>
      </c>
      <c r="E75" t="s">
        <v>69</v>
      </c>
      <c r="F75" t="s">
        <v>70</v>
      </c>
      <c r="G75" t="s">
        <v>109</v>
      </c>
      <c r="H75" t="s">
        <v>32</v>
      </c>
      <c r="I75" t="s">
        <v>44</v>
      </c>
      <c r="J75">
        <v>9</v>
      </c>
      <c r="K75" t="s">
        <v>246</v>
      </c>
      <c r="L75">
        <v>0.1</v>
      </c>
      <c r="M75">
        <v>1206900</v>
      </c>
      <c r="N75" t="s">
        <v>94</v>
      </c>
      <c r="O75" t="s">
        <v>36</v>
      </c>
      <c r="P75" t="s">
        <v>61</v>
      </c>
    </row>
    <row r="76" spans="1:16" x14ac:dyDescent="0.3">
      <c r="A76" t="s">
        <v>247</v>
      </c>
      <c r="B76" s="2">
        <v>45802</v>
      </c>
      <c r="C76" t="s">
        <v>63</v>
      </c>
      <c r="D76" t="s">
        <v>18</v>
      </c>
      <c r="E76" t="s">
        <v>97</v>
      </c>
      <c r="F76" t="s">
        <v>42</v>
      </c>
      <c r="G76" t="s">
        <v>21</v>
      </c>
      <c r="H76" t="s">
        <v>22</v>
      </c>
      <c r="I76" t="s">
        <v>23</v>
      </c>
      <c r="J76">
        <v>13</v>
      </c>
      <c r="K76">
        <v>17000</v>
      </c>
      <c r="L76">
        <v>0.02</v>
      </c>
      <c r="M76" t="s">
        <v>248</v>
      </c>
      <c r="N76" t="s">
        <v>103</v>
      </c>
      <c r="O76" t="s">
        <v>95</v>
      </c>
      <c r="P76" t="s">
        <v>111</v>
      </c>
    </row>
    <row r="77" spans="1:16" x14ac:dyDescent="0.3">
      <c r="A77" t="s">
        <v>249</v>
      </c>
      <c r="B77" s="2">
        <v>45748</v>
      </c>
      <c r="C77" t="s">
        <v>67</v>
      </c>
      <c r="D77" t="s">
        <v>68</v>
      </c>
      <c r="E77" t="s">
        <v>69</v>
      </c>
      <c r="F77" t="s">
        <v>70</v>
      </c>
      <c r="G77" t="s">
        <v>74</v>
      </c>
      <c r="H77" t="s">
        <v>32</v>
      </c>
      <c r="I77" t="s">
        <v>33</v>
      </c>
      <c r="J77">
        <v>13</v>
      </c>
      <c r="K77">
        <v>96000</v>
      </c>
      <c r="L77">
        <v>0.02</v>
      </c>
      <c r="M77">
        <v>-1223040</v>
      </c>
      <c r="N77" t="s">
        <v>53</v>
      </c>
      <c r="O77" t="s">
        <v>60</v>
      </c>
      <c r="P77" t="s">
        <v>183</v>
      </c>
    </row>
    <row r="78" spans="1:16" x14ac:dyDescent="0.3">
      <c r="A78" t="s">
        <v>250</v>
      </c>
      <c r="B78" s="2">
        <v>45948</v>
      </c>
      <c r="C78" t="s">
        <v>214</v>
      </c>
      <c r="D78" t="s">
        <v>102</v>
      </c>
      <c r="E78" t="s">
        <v>162</v>
      </c>
      <c r="F78" t="s">
        <v>20</v>
      </c>
      <c r="G78" t="s">
        <v>155</v>
      </c>
      <c r="H78" t="s">
        <v>101</v>
      </c>
      <c r="I78" t="s">
        <v>156</v>
      </c>
      <c r="J78">
        <v>11</v>
      </c>
      <c r="K78">
        <v>175000</v>
      </c>
      <c r="L78">
        <v>0.1</v>
      </c>
      <c r="M78">
        <v>-1732500</v>
      </c>
      <c r="N78" t="s">
        <v>53</v>
      </c>
      <c r="O78" t="s">
        <v>145</v>
      </c>
      <c r="P78" t="s">
        <v>183</v>
      </c>
    </row>
    <row r="79" spans="1:16" x14ac:dyDescent="0.3">
      <c r="A79" t="s">
        <v>251</v>
      </c>
      <c r="B79" s="2">
        <v>45682</v>
      </c>
      <c r="C79" t="s">
        <v>159</v>
      </c>
      <c r="D79" t="s">
        <v>131</v>
      </c>
      <c r="E79" t="s">
        <v>168</v>
      </c>
      <c r="F79" t="s">
        <v>85</v>
      </c>
      <c r="G79" t="s">
        <v>178</v>
      </c>
      <c r="H79" t="s">
        <v>101</v>
      </c>
      <c r="I79" t="s">
        <v>179</v>
      </c>
      <c r="J79">
        <v>6</v>
      </c>
      <c r="K79">
        <v>109000</v>
      </c>
      <c r="L79">
        <v>0</v>
      </c>
      <c r="M79">
        <v>-654000</v>
      </c>
      <c r="N79" t="s">
        <v>94</v>
      </c>
      <c r="O79" t="s">
        <v>25</v>
      </c>
      <c r="P79" t="s">
        <v>183</v>
      </c>
    </row>
    <row r="80" spans="1:16" x14ac:dyDescent="0.3">
      <c r="A80" t="s">
        <v>252</v>
      </c>
      <c r="B80" s="2">
        <v>45880</v>
      </c>
      <c r="C80" t="s">
        <v>63</v>
      </c>
      <c r="D80" t="s">
        <v>18</v>
      </c>
      <c r="E80" t="s">
        <v>42</v>
      </c>
      <c r="F80" t="s">
        <v>42</v>
      </c>
      <c r="G80" t="s">
        <v>169</v>
      </c>
      <c r="H80" t="s">
        <v>22</v>
      </c>
      <c r="I80" t="s">
        <v>23</v>
      </c>
      <c r="J80">
        <v>9</v>
      </c>
      <c r="K80">
        <v>45000</v>
      </c>
      <c r="L80">
        <v>0.05</v>
      </c>
      <c r="M80">
        <v>0</v>
      </c>
      <c r="N80" t="s">
        <v>35</v>
      </c>
      <c r="O80" t="s">
        <v>46</v>
      </c>
      <c r="P80" t="s">
        <v>141</v>
      </c>
    </row>
    <row r="81" spans="1:16" x14ac:dyDescent="0.3">
      <c r="A81" t="s">
        <v>253</v>
      </c>
      <c r="B81" s="2">
        <v>45752</v>
      </c>
      <c r="C81" t="s">
        <v>214</v>
      </c>
      <c r="D81" t="s">
        <v>102</v>
      </c>
      <c r="E81" t="s">
        <v>162</v>
      </c>
      <c r="F81" t="s">
        <v>20</v>
      </c>
      <c r="G81" t="s">
        <v>208</v>
      </c>
      <c r="H81" t="s">
        <v>209</v>
      </c>
      <c r="I81" t="s">
        <v>65</v>
      </c>
      <c r="J81">
        <v>11</v>
      </c>
      <c r="K81">
        <v>104000</v>
      </c>
      <c r="L81">
        <v>0.05</v>
      </c>
      <c r="M81">
        <v>1086800</v>
      </c>
      <c r="N81" t="s">
        <v>79</v>
      </c>
      <c r="O81" t="s">
        <v>145</v>
      </c>
      <c r="P81" t="s">
        <v>47</v>
      </c>
    </row>
    <row r="82" spans="1:16" x14ac:dyDescent="0.3">
      <c r="A82" t="s">
        <v>254</v>
      </c>
      <c r="B82" s="2">
        <v>45745</v>
      </c>
      <c r="C82" t="s">
        <v>67</v>
      </c>
      <c r="D82" t="s">
        <v>68</v>
      </c>
      <c r="E82" t="s">
        <v>69</v>
      </c>
      <c r="F82" t="s">
        <v>70</v>
      </c>
      <c r="G82" t="s">
        <v>109</v>
      </c>
      <c r="H82" t="s">
        <v>32</v>
      </c>
      <c r="I82" t="s">
        <v>44</v>
      </c>
      <c r="J82">
        <v>8</v>
      </c>
      <c r="K82">
        <v>135000</v>
      </c>
      <c r="L82">
        <v>0</v>
      </c>
      <c r="M82">
        <v>-1080000</v>
      </c>
      <c r="N82" t="s">
        <v>53</v>
      </c>
      <c r="O82" t="s">
        <v>95</v>
      </c>
      <c r="P82" t="s">
        <v>80</v>
      </c>
    </row>
    <row r="83" spans="1:16" x14ac:dyDescent="0.3">
      <c r="A83" t="s">
        <v>255</v>
      </c>
      <c r="B83" s="2">
        <v>45944</v>
      </c>
      <c r="C83" t="s">
        <v>159</v>
      </c>
      <c r="D83" t="s">
        <v>131</v>
      </c>
      <c r="E83" t="s">
        <v>174</v>
      </c>
      <c r="F83" t="s">
        <v>152</v>
      </c>
      <c r="G83" t="s">
        <v>71</v>
      </c>
      <c r="H83" t="s">
        <v>32</v>
      </c>
      <c r="I83" t="s">
        <v>33</v>
      </c>
      <c r="J83">
        <v>13</v>
      </c>
      <c r="K83" t="s">
        <v>256</v>
      </c>
      <c r="L83">
        <v>0.02</v>
      </c>
      <c r="M83">
        <v>0</v>
      </c>
      <c r="N83" t="s">
        <v>35</v>
      </c>
      <c r="O83" t="s">
        <v>95</v>
      </c>
      <c r="P83" t="s">
        <v>104</v>
      </c>
    </row>
    <row r="84" spans="1:16" x14ac:dyDescent="0.3">
      <c r="A84" t="s">
        <v>257</v>
      </c>
      <c r="B84" s="2">
        <v>45958</v>
      </c>
      <c r="C84" t="s">
        <v>63</v>
      </c>
      <c r="D84" t="s">
        <v>18</v>
      </c>
      <c r="E84" t="s">
        <v>42</v>
      </c>
      <c r="F84" t="s">
        <v>77</v>
      </c>
      <c r="G84" t="s">
        <v>109</v>
      </c>
      <c r="H84" t="s">
        <v>32</v>
      </c>
      <c r="I84" t="s">
        <v>44</v>
      </c>
      <c r="J84">
        <v>5</v>
      </c>
      <c r="K84" t="s">
        <v>258</v>
      </c>
      <c r="L84">
        <v>0.05</v>
      </c>
      <c r="M84">
        <v>717250</v>
      </c>
      <c r="N84" t="s">
        <v>103</v>
      </c>
      <c r="O84" t="s">
        <v>175</v>
      </c>
      <c r="P84" t="s">
        <v>61</v>
      </c>
    </row>
    <row r="85" spans="1:16" x14ac:dyDescent="0.3">
      <c r="A85" t="s">
        <v>259</v>
      </c>
      <c r="B85" s="2">
        <v>45936</v>
      </c>
      <c r="C85" t="s">
        <v>154</v>
      </c>
      <c r="D85" t="s">
        <v>131</v>
      </c>
      <c r="E85" t="s">
        <v>162</v>
      </c>
      <c r="F85" t="s">
        <v>20</v>
      </c>
      <c r="G85" t="s">
        <v>137</v>
      </c>
      <c r="H85" t="s">
        <v>138</v>
      </c>
      <c r="I85" t="s">
        <v>138</v>
      </c>
      <c r="J85">
        <v>7</v>
      </c>
      <c r="K85" t="s">
        <v>260</v>
      </c>
      <c r="L85">
        <v>0.02</v>
      </c>
      <c r="M85">
        <v>185220</v>
      </c>
      <c r="N85" t="s">
        <v>94</v>
      </c>
      <c r="O85" t="s">
        <v>60</v>
      </c>
      <c r="P85" t="s">
        <v>87</v>
      </c>
    </row>
    <row r="86" spans="1:16" x14ac:dyDescent="0.3">
      <c r="A86" t="s">
        <v>261</v>
      </c>
      <c r="B86" s="2">
        <v>45840</v>
      </c>
      <c r="C86" t="s">
        <v>113</v>
      </c>
      <c r="D86" t="s">
        <v>29</v>
      </c>
      <c r="E86" t="s">
        <v>84</v>
      </c>
      <c r="F86" t="s">
        <v>114</v>
      </c>
      <c r="G86" t="s">
        <v>21</v>
      </c>
      <c r="H86" t="s">
        <v>22</v>
      </c>
      <c r="I86" t="s">
        <v>23</v>
      </c>
      <c r="J86">
        <v>10</v>
      </c>
      <c r="K86">
        <v>19000</v>
      </c>
      <c r="L86">
        <v>0</v>
      </c>
      <c r="M86">
        <v>190000</v>
      </c>
      <c r="N86" t="s">
        <v>53</v>
      </c>
      <c r="O86" t="s">
        <v>46</v>
      </c>
      <c r="P86" t="s">
        <v>61</v>
      </c>
    </row>
    <row r="87" spans="1:16" x14ac:dyDescent="0.3">
      <c r="A87" t="s">
        <v>262</v>
      </c>
      <c r="B87" s="2">
        <v>45777</v>
      </c>
      <c r="C87" t="s">
        <v>190</v>
      </c>
      <c r="D87" t="s">
        <v>191</v>
      </c>
      <c r="E87" t="s">
        <v>77</v>
      </c>
      <c r="F87" t="s">
        <v>42</v>
      </c>
      <c r="G87" t="s">
        <v>109</v>
      </c>
      <c r="H87" t="s">
        <v>32</v>
      </c>
      <c r="I87" t="s">
        <v>44</v>
      </c>
      <c r="J87">
        <v>4</v>
      </c>
      <c r="K87">
        <v>139000</v>
      </c>
      <c r="L87">
        <v>0</v>
      </c>
      <c r="M87">
        <v>0</v>
      </c>
      <c r="N87" t="s">
        <v>53</v>
      </c>
      <c r="O87" t="s">
        <v>46</v>
      </c>
      <c r="P87" t="s">
        <v>26</v>
      </c>
    </row>
    <row r="88" spans="1:16" x14ac:dyDescent="0.3">
      <c r="A88" t="s">
        <v>263</v>
      </c>
      <c r="B88" s="2">
        <v>45844</v>
      </c>
      <c r="C88" t="s">
        <v>113</v>
      </c>
      <c r="D88" t="s">
        <v>29</v>
      </c>
      <c r="E88" t="s">
        <v>84</v>
      </c>
      <c r="F88" t="s">
        <v>114</v>
      </c>
      <c r="G88" t="s">
        <v>109</v>
      </c>
      <c r="H88" t="s">
        <v>32</v>
      </c>
      <c r="I88" t="s">
        <v>44</v>
      </c>
      <c r="J88">
        <v>8</v>
      </c>
      <c r="K88">
        <v>164000</v>
      </c>
      <c r="L88">
        <v>0.1</v>
      </c>
      <c r="M88" t="s">
        <v>264</v>
      </c>
      <c r="N88" t="s">
        <v>86</v>
      </c>
      <c r="P88" t="s">
        <v>61</v>
      </c>
    </row>
    <row r="89" spans="1:16" x14ac:dyDescent="0.3">
      <c r="A89" t="s">
        <v>265</v>
      </c>
      <c r="B89" s="2">
        <v>45673</v>
      </c>
      <c r="C89" t="s">
        <v>82</v>
      </c>
      <c r="D89" t="s">
        <v>83</v>
      </c>
      <c r="E89" t="s">
        <v>84</v>
      </c>
      <c r="F89" t="s">
        <v>114</v>
      </c>
      <c r="G89" t="s">
        <v>169</v>
      </c>
      <c r="H89" t="s">
        <v>22</v>
      </c>
      <c r="I89" t="s">
        <v>23</v>
      </c>
      <c r="J89">
        <v>11</v>
      </c>
      <c r="K89">
        <v>44000</v>
      </c>
      <c r="L89">
        <v>0.1</v>
      </c>
      <c r="M89">
        <v>0</v>
      </c>
      <c r="N89" t="s">
        <v>86</v>
      </c>
      <c r="O89" t="s">
        <v>175</v>
      </c>
      <c r="P89" t="s">
        <v>37</v>
      </c>
    </row>
    <row r="90" spans="1:16" x14ac:dyDescent="0.3">
      <c r="A90" t="s">
        <v>266</v>
      </c>
      <c r="B90" s="2">
        <v>45798</v>
      </c>
      <c r="C90" t="s">
        <v>113</v>
      </c>
      <c r="D90" t="s">
        <v>29</v>
      </c>
      <c r="E90" t="s">
        <v>84</v>
      </c>
      <c r="F90" t="s">
        <v>114</v>
      </c>
      <c r="G90" t="s">
        <v>169</v>
      </c>
      <c r="H90" t="s">
        <v>22</v>
      </c>
      <c r="I90" t="s">
        <v>23</v>
      </c>
      <c r="J90">
        <v>11</v>
      </c>
      <c r="K90">
        <v>37000</v>
      </c>
      <c r="L90">
        <v>0.02</v>
      </c>
      <c r="M90" t="s">
        <v>267</v>
      </c>
      <c r="N90" t="s">
        <v>35</v>
      </c>
      <c r="O90" t="s">
        <v>75</v>
      </c>
      <c r="P90" t="s">
        <v>47</v>
      </c>
    </row>
    <row r="91" spans="1:16" x14ac:dyDescent="0.3">
      <c r="A91" t="s">
        <v>268</v>
      </c>
      <c r="B91" s="2">
        <v>45833</v>
      </c>
      <c r="C91" t="s">
        <v>117</v>
      </c>
      <c r="D91" t="s">
        <v>68</v>
      </c>
      <c r="E91" t="s">
        <v>118</v>
      </c>
      <c r="F91" t="s">
        <v>124</v>
      </c>
      <c r="G91" t="s">
        <v>204</v>
      </c>
      <c r="H91" t="s">
        <v>101</v>
      </c>
      <c r="I91" t="s">
        <v>156</v>
      </c>
      <c r="J91">
        <v>12</v>
      </c>
      <c r="K91">
        <v>152000</v>
      </c>
      <c r="L91">
        <v>0.05</v>
      </c>
      <c r="M91">
        <v>1732800</v>
      </c>
      <c r="N91" t="s">
        <v>53</v>
      </c>
      <c r="O91" t="s">
        <v>60</v>
      </c>
      <c r="P91" t="s">
        <v>61</v>
      </c>
    </row>
    <row r="92" spans="1:16" x14ac:dyDescent="0.3">
      <c r="A92" t="s">
        <v>269</v>
      </c>
      <c r="B92" s="2">
        <v>45923</v>
      </c>
      <c r="D92" t="s">
        <v>29</v>
      </c>
      <c r="E92" t="s">
        <v>30</v>
      </c>
      <c r="F92" t="s">
        <v>20</v>
      </c>
      <c r="G92" t="s">
        <v>243</v>
      </c>
      <c r="H92" t="s">
        <v>32</v>
      </c>
      <c r="I92" t="s">
        <v>52</v>
      </c>
      <c r="K92">
        <v>327000</v>
      </c>
      <c r="L92">
        <v>0.05</v>
      </c>
      <c r="M92">
        <v>3417150</v>
      </c>
      <c r="N92" t="s">
        <v>35</v>
      </c>
      <c r="O92" t="s">
        <v>25</v>
      </c>
      <c r="P92" t="s">
        <v>61</v>
      </c>
    </row>
    <row r="93" spans="1:16" x14ac:dyDescent="0.3">
      <c r="A93" t="s">
        <v>270</v>
      </c>
      <c r="B93" s="2">
        <v>45821</v>
      </c>
      <c r="C93" t="s">
        <v>89</v>
      </c>
      <c r="D93" t="s">
        <v>90</v>
      </c>
      <c r="E93" t="s">
        <v>132</v>
      </c>
      <c r="F93" t="s">
        <v>20</v>
      </c>
      <c r="G93" t="s">
        <v>125</v>
      </c>
      <c r="H93" t="s">
        <v>32</v>
      </c>
      <c r="I93" t="s">
        <v>52</v>
      </c>
      <c r="J93">
        <v>2</v>
      </c>
      <c r="K93">
        <v>400000</v>
      </c>
      <c r="L93">
        <v>0</v>
      </c>
      <c r="M93">
        <v>0</v>
      </c>
      <c r="N93" t="s">
        <v>53</v>
      </c>
      <c r="O93" t="s">
        <v>36</v>
      </c>
      <c r="P93" t="s">
        <v>104</v>
      </c>
    </row>
    <row r="94" spans="1:16" x14ac:dyDescent="0.3">
      <c r="A94" t="s">
        <v>271</v>
      </c>
      <c r="B94" s="2">
        <v>45818</v>
      </c>
      <c r="C94" t="s">
        <v>159</v>
      </c>
      <c r="D94" t="s">
        <v>131</v>
      </c>
      <c r="E94" t="s">
        <v>168</v>
      </c>
      <c r="F94" t="s">
        <v>99</v>
      </c>
      <c r="G94" t="s">
        <v>272</v>
      </c>
      <c r="H94" t="s">
        <v>101</v>
      </c>
      <c r="I94" t="s">
        <v>102</v>
      </c>
      <c r="J94">
        <v>9</v>
      </c>
      <c r="K94" t="s">
        <v>273</v>
      </c>
      <c r="L94">
        <v>0.02</v>
      </c>
      <c r="M94">
        <v>1076040</v>
      </c>
      <c r="N94" t="s">
        <v>53</v>
      </c>
      <c r="O94" t="s">
        <v>25</v>
      </c>
      <c r="P94" t="s">
        <v>61</v>
      </c>
    </row>
    <row r="95" spans="1:16" x14ac:dyDescent="0.3">
      <c r="A95" t="s">
        <v>274</v>
      </c>
      <c r="B95" s="2">
        <v>45886</v>
      </c>
      <c r="C95" t="s">
        <v>67</v>
      </c>
      <c r="D95" t="s">
        <v>68</v>
      </c>
      <c r="E95" t="s">
        <v>69</v>
      </c>
      <c r="F95" t="s">
        <v>70</v>
      </c>
      <c r="G95" t="s">
        <v>21</v>
      </c>
      <c r="H95" t="s">
        <v>22</v>
      </c>
      <c r="I95" t="s">
        <v>23</v>
      </c>
      <c r="J95">
        <v>9</v>
      </c>
      <c r="K95">
        <v>20000</v>
      </c>
      <c r="L95">
        <v>0.05</v>
      </c>
      <c r="M95">
        <v>-171000</v>
      </c>
      <c r="N95" t="s">
        <v>35</v>
      </c>
      <c r="O95" t="s">
        <v>60</v>
      </c>
      <c r="P95" t="s">
        <v>80</v>
      </c>
    </row>
    <row r="96" spans="1:16" x14ac:dyDescent="0.3">
      <c r="A96" t="s">
        <v>275</v>
      </c>
      <c r="B96" s="2">
        <v>45774</v>
      </c>
      <c r="C96" t="s">
        <v>82</v>
      </c>
      <c r="D96" t="s">
        <v>83</v>
      </c>
      <c r="E96" t="s">
        <v>84</v>
      </c>
      <c r="F96" t="s">
        <v>114</v>
      </c>
      <c r="G96" t="s">
        <v>57</v>
      </c>
      <c r="H96" t="s">
        <v>32</v>
      </c>
      <c r="I96" t="s">
        <v>58</v>
      </c>
      <c r="J96">
        <v>13</v>
      </c>
      <c r="K96">
        <v>713000</v>
      </c>
      <c r="L96">
        <v>0</v>
      </c>
      <c r="M96">
        <v>9269000</v>
      </c>
      <c r="N96" t="s">
        <v>35</v>
      </c>
      <c r="O96" t="s">
        <v>75</v>
      </c>
      <c r="P96" t="s">
        <v>244</v>
      </c>
    </row>
    <row r="97" spans="1:16" x14ac:dyDescent="0.3">
      <c r="A97" t="s">
        <v>276</v>
      </c>
      <c r="B97" s="2">
        <v>45869</v>
      </c>
      <c r="C97" t="s">
        <v>39</v>
      </c>
      <c r="D97" t="s">
        <v>40</v>
      </c>
      <c r="E97" t="s">
        <v>42</v>
      </c>
      <c r="F97" t="s">
        <v>97</v>
      </c>
      <c r="G97" t="s">
        <v>277</v>
      </c>
      <c r="H97" t="s">
        <v>32</v>
      </c>
      <c r="I97" t="s">
        <v>44</v>
      </c>
      <c r="J97">
        <v>11</v>
      </c>
      <c r="K97" t="s">
        <v>278</v>
      </c>
      <c r="L97">
        <v>0</v>
      </c>
      <c r="M97" t="s">
        <v>279</v>
      </c>
      <c r="N97" t="s">
        <v>53</v>
      </c>
      <c r="O97" t="s">
        <v>95</v>
      </c>
      <c r="P97" t="s">
        <v>54</v>
      </c>
    </row>
    <row r="98" spans="1:16" x14ac:dyDescent="0.3">
      <c r="A98" t="s">
        <v>280</v>
      </c>
      <c r="B98" s="2">
        <v>45988</v>
      </c>
      <c r="C98" t="s">
        <v>106</v>
      </c>
      <c r="D98" t="s">
        <v>50</v>
      </c>
      <c r="E98" t="s">
        <v>107</v>
      </c>
      <c r="F98" t="s">
        <v>108</v>
      </c>
      <c r="G98" t="s">
        <v>64</v>
      </c>
      <c r="H98" t="s">
        <v>32</v>
      </c>
      <c r="I98" t="s">
        <v>65</v>
      </c>
      <c r="J98">
        <v>11</v>
      </c>
      <c r="K98">
        <v>542000</v>
      </c>
      <c r="L98">
        <v>0.1</v>
      </c>
      <c r="M98">
        <v>5365800</v>
      </c>
      <c r="N98" t="s">
        <v>103</v>
      </c>
      <c r="O98" t="s">
        <v>60</v>
      </c>
      <c r="P98" t="s">
        <v>111</v>
      </c>
    </row>
    <row r="99" spans="1:16" x14ac:dyDescent="0.3">
      <c r="A99" t="s">
        <v>281</v>
      </c>
      <c r="B99" s="2">
        <v>45908</v>
      </c>
      <c r="C99" t="s">
        <v>154</v>
      </c>
      <c r="D99" t="s">
        <v>131</v>
      </c>
      <c r="E99" t="s">
        <v>143</v>
      </c>
      <c r="F99" t="s">
        <v>133</v>
      </c>
      <c r="G99" t="s">
        <v>169</v>
      </c>
      <c r="H99" t="s">
        <v>22</v>
      </c>
      <c r="I99" t="s">
        <v>23</v>
      </c>
      <c r="J99">
        <v>3</v>
      </c>
      <c r="K99">
        <v>44000</v>
      </c>
      <c r="L99">
        <v>0</v>
      </c>
      <c r="M99">
        <v>132000</v>
      </c>
      <c r="N99" t="s">
        <v>53</v>
      </c>
      <c r="O99" t="s">
        <v>60</v>
      </c>
      <c r="P99" t="s">
        <v>111</v>
      </c>
    </row>
    <row r="100" spans="1:16" x14ac:dyDescent="0.3">
      <c r="A100" t="s">
        <v>282</v>
      </c>
      <c r="B100" s="2">
        <v>45909</v>
      </c>
      <c r="C100" t="s">
        <v>154</v>
      </c>
      <c r="D100" t="s">
        <v>131</v>
      </c>
      <c r="E100" t="s">
        <v>143</v>
      </c>
      <c r="F100" t="s">
        <v>73</v>
      </c>
      <c r="G100" t="s">
        <v>109</v>
      </c>
      <c r="H100" t="s">
        <v>32</v>
      </c>
      <c r="I100" t="s">
        <v>44</v>
      </c>
      <c r="J100">
        <v>13</v>
      </c>
      <c r="K100" t="s">
        <v>283</v>
      </c>
      <c r="L100">
        <v>0.02</v>
      </c>
      <c r="M100">
        <v>1987440</v>
      </c>
      <c r="N100" t="s">
        <v>53</v>
      </c>
      <c r="O100" t="s">
        <v>175</v>
      </c>
      <c r="P100" t="s">
        <v>244</v>
      </c>
    </row>
    <row r="101" spans="1:16" x14ac:dyDescent="0.3">
      <c r="A101" t="s">
        <v>284</v>
      </c>
      <c r="B101" s="2">
        <v>45974</v>
      </c>
      <c r="C101" t="s">
        <v>17</v>
      </c>
      <c r="D101" t="s">
        <v>18</v>
      </c>
      <c r="E101" t="s">
        <v>162</v>
      </c>
      <c r="F101" t="s">
        <v>203</v>
      </c>
      <c r="G101" t="s">
        <v>272</v>
      </c>
      <c r="H101" t="s">
        <v>101</v>
      </c>
      <c r="I101" t="s">
        <v>102</v>
      </c>
      <c r="J101">
        <v>5</v>
      </c>
      <c r="K101">
        <v>109000</v>
      </c>
      <c r="L101">
        <v>0.05</v>
      </c>
      <c r="M101">
        <v>-517750</v>
      </c>
      <c r="N101" t="s">
        <v>86</v>
      </c>
      <c r="O101" t="s">
        <v>75</v>
      </c>
      <c r="P101" t="s">
        <v>183</v>
      </c>
    </row>
    <row r="102" spans="1:16" x14ac:dyDescent="0.3">
      <c r="A102" t="s">
        <v>285</v>
      </c>
      <c r="B102" s="2">
        <v>45689</v>
      </c>
      <c r="C102" t="s">
        <v>17</v>
      </c>
      <c r="D102" t="s">
        <v>18</v>
      </c>
      <c r="E102" t="s">
        <v>19</v>
      </c>
      <c r="F102" t="s">
        <v>203</v>
      </c>
      <c r="G102" t="s">
        <v>204</v>
      </c>
      <c r="H102" t="s">
        <v>101</v>
      </c>
      <c r="I102" t="s">
        <v>156</v>
      </c>
      <c r="J102">
        <v>9</v>
      </c>
      <c r="K102">
        <v>165000</v>
      </c>
      <c r="L102">
        <v>0.1</v>
      </c>
      <c r="M102">
        <v>1336500</v>
      </c>
      <c r="N102" t="s">
        <v>86</v>
      </c>
      <c r="O102" t="s">
        <v>60</v>
      </c>
      <c r="P102" t="s">
        <v>61</v>
      </c>
    </row>
    <row r="103" spans="1:16" x14ac:dyDescent="0.3">
      <c r="A103" t="s">
        <v>286</v>
      </c>
      <c r="B103" s="2">
        <v>46015</v>
      </c>
      <c r="C103" t="s">
        <v>287</v>
      </c>
      <c r="D103" t="s">
        <v>22</v>
      </c>
      <c r="E103" t="s">
        <v>19</v>
      </c>
      <c r="F103" t="s">
        <v>203</v>
      </c>
      <c r="G103" t="s">
        <v>137</v>
      </c>
      <c r="H103" t="s">
        <v>138</v>
      </c>
      <c r="I103" t="s">
        <v>138</v>
      </c>
      <c r="J103">
        <v>11</v>
      </c>
      <c r="K103">
        <v>31000</v>
      </c>
      <c r="L103">
        <v>0.05</v>
      </c>
      <c r="M103">
        <v>0</v>
      </c>
      <c r="N103" t="s">
        <v>86</v>
      </c>
      <c r="O103" t="s">
        <v>25</v>
      </c>
      <c r="P103" t="s">
        <v>37</v>
      </c>
    </row>
    <row r="104" spans="1:16" x14ac:dyDescent="0.3">
      <c r="A104" t="s">
        <v>288</v>
      </c>
      <c r="B104" s="2">
        <v>45771</v>
      </c>
      <c r="C104" t="s">
        <v>67</v>
      </c>
      <c r="D104" t="s">
        <v>68</v>
      </c>
      <c r="E104" t="s">
        <v>69</v>
      </c>
      <c r="F104" t="s">
        <v>70</v>
      </c>
      <c r="G104" t="s">
        <v>155</v>
      </c>
      <c r="H104" t="s">
        <v>101</v>
      </c>
      <c r="I104" t="s">
        <v>156</v>
      </c>
      <c r="J104">
        <v>4</v>
      </c>
      <c r="K104" t="s">
        <v>289</v>
      </c>
      <c r="L104">
        <v>0.02</v>
      </c>
      <c r="M104">
        <v>748720</v>
      </c>
      <c r="N104" t="s">
        <v>53</v>
      </c>
      <c r="O104" t="s">
        <v>145</v>
      </c>
      <c r="P104" t="s">
        <v>61</v>
      </c>
    </row>
    <row r="105" spans="1:16" x14ac:dyDescent="0.3">
      <c r="A105" t="s">
        <v>290</v>
      </c>
      <c r="B105" s="2">
        <v>45716</v>
      </c>
      <c r="C105" t="s">
        <v>49</v>
      </c>
      <c r="D105" t="s">
        <v>50</v>
      </c>
      <c r="E105" t="s">
        <v>19</v>
      </c>
      <c r="F105" t="s">
        <v>133</v>
      </c>
      <c r="G105" t="s">
        <v>128</v>
      </c>
      <c r="H105" t="s">
        <v>22</v>
      </c>
      <c r="I105" t="s">
        <v>92</v>
      </c>
      <c r="J105">
        <v>1</v>
      </c>
      <c r="K105">
        <v>205000</v>
      </c>
      <c r="L105">
        <v>0.02</v>
      </c>
      <c r="M105" t="s">
        <v>291</v>
      </c>
      <c r="N105" t="s">
        <v>53</v>
      </c>
      <c r="O105" t="s">
        <v>75</v>
      </c>
      <c r="P105" t="s">
        <v>111</v>
      </c>
    </row>
    <row r="106" spans="1:16" x14ac:dyDescent="0.3">
      <c r="A106" t="s">
        <v>292</v>
      </c>
      <c r="B106" s="2">
        <v>45870</v>
      </c>
      <c r="C106" t="s">
        <v>159</v>
      </c>
      <c r="D106" t="s">
        <v>131</v>
      </c>
      <c r="E106" t="s">
        <v>84</v>
      </c>
      <c r="F106" t="s">
        <v>114</v>
      </c>
      <c r="G106" t="s">
        <v>169</v>
      </c>
      <c r="H106" t="s">
        <v>22</v>
      </c>
      <c r="I106" t="s">
        <v>23</v>
      </c>
      <c r="J106">
        <v>8</v>
      </c>
      <c r="K106">
        <v>43000</v>
      </c>
      <c r="L106">
        <v>0.1</v>
      </c>
      <c r="M106">
        <v>309600</v>
      </c>
      <c r="N106" t="s">
        <v>94</v>
      </c>
      <c r="O106" t="s">
        <v>36</v>
      </c>
      <c r="P106" t="s">
        <v>54</v>
      </c>
    </row>
    <row r="107" spans="1:16" x14ac:dyDescent="0.3">
      <c r="A107" t="s">
        <v>293</v>
      </c>
      <c r="B107" s="2">
        <v>45685</v>
      </c>
      <c r="C107" t="s">
        <v>135</v>
      </c>
      <c r="D107" t="s">
        <v>50</v>
      </c>
      <c r="E107" t="s">
        <v>107</v>
      </c>
      <c r="F107" t="s">
        <v>108</v>
      </c>
      <c r="G107" t="s">
        <v>64</v>
      </c>
      <c r="H107" t="s">
        <v>32</v>
      </c>
      <c r="I107" t="s">
        <v>65</v>
      </c>
      <c r="J107">
        <v>14</v>
      </c>
      <c r="K107">
        <v>538000</v>
      </c>
      <c r="L107">
        <v>0.1</v>
      </c>
      <c r="M107">
        <v>6778800</v>
      </c>
      <c r="N107" t="s">
        <v>35</v>
      </c>
      <c r="O107" t="s">
        <v>46</v>
      </c>
      <c r="P107" t="s">
        <v>87</v>
      </c>
    </row>
    <row r="108" spans="1:16" x14ac:dyDescent="0.3">
      <c r="A108" t="s">
        <v>294</v>
      </c>
      <c r="B108" s="2">
        <v>45920</v>
      </c>
      <c r="C108" t="s">
        <v>159</v>
      </c>
      <c r="D108" t="s">
        <v>131</v>
      </c>
      <c r="E108" t="s">
        <v>84</v>
      </c>
      <c r="F108" t="s">
        <v>99</v>
      </c>
      <c r="G108" t="s">
        <v>295</v>
      </c>
      <c r="H108" t="s">
        <v>32</v>
      </c>
      <c r="I108" t="s">
        <v>58</v>
      </c>
      <c r="J108">
        <v>6</v>
      </c>
      <c r="K108">
        <v>381000</v>
      </c>
      <c r="L108">
        <v>0.02</v>
      </c>
      <c r="M108">
        <v>2240280</v>
      </c>
      <c r="N108" t="s">
        <v>35</v>
      </c>
      <c r="O108" t="s">
        <v>145</v>
      </c>
      <c r="P108" t="s">
        <v>61</v>
      </c>
    </row>
    <row r="109" spans="1:16" x14ac:dyDescent="0.3">
      <c r="A109" t="s">
        <v>296</v>
      </c>
      <c r="B109" s="2">
        <v>45743</v>
      </c>
      <c r="C109" t="s">
        <v>117</v>
      </c>
      <c r="D109" t="s">
        <v>68</v>
      </c>
      <c r="E109" t="s">
        <v>224</v>
      </c>
      <c r="F109" t="s">
        <v>297</v>
      </c>
      <c r="G109" t="s">
        <v>208</v>
      </c>
      <c r="H109" t="s">
        <v>209</v>
      </c>
      <c r="I109" t="s">
        <v>65</v>
      </c>
      <c r="J109">
        <v>1</v>
      </c>
      <c r="K109">
        <v>108000</v>
      </c>
      <c r="L109">
        <v>0</v>
      </c>
      <c r="M109">
        <v>-108000</v>
      </c>
      <c r="N109" t="s">
        <v>53</v>
      </c>
      <c r="O109" t="s">
        <v>95</v>
      </c>
      <c r="P109" t="s">
        <v>150</v>
      </c>
    </row>
    <row r="110" spans="1:16" x14ac:dyDescent="0.3">
      <c r="A110" t="s">
        <v>298</v>
      </c>
      <c r="B110" s="2">
        <v>45806</v>
      </c>
      <c r="C110" t="s">
        <v>287</v>
      </c>
      <c r="D110" t="s">
        <v>22</v>
      </c>
      <c r="E110" t="s">
        <v>19</v>
      </c>
      <c r="F110" t="s">
        <v>73</v>
      </c>
      <c r="G110" t="s">
        <v>91</v>
      </c>
      <c r="H110" t="s">
        <v>22</v>
      </c>
      <c r="I110" t="s">
        <v>92</v>
      </c>
      <c r="J110">
        <v>13</v>
      </c>
      <c r="K110">
        <v>206000</v>
      </c>
      <c r="L110">
        <v>0.05</v>
      </c>
      <c r="M110">
        <v>2544100</v>
      </c>
      <c r="N110" t="s">
        <v>171</v>
      </c>
      <c r="O110" t="s">
        <v>60</v>
      </c>
      <c r="P110" t="s">
        <v>121</v>
      </c>
    </row>
    <row r="111" spans="1:16" x14ac:dyDescent="0.3">
      <c r="A111" t="s">
        <v>299</v>
      </c>
      <c r="B111" s="2">
        <v>45712</v>
      </c>
      <c r="C111" t="s">
        <v>82</v>
      </c>
      <c r="D111" t="s">
        <v>83</v>
      </c>
      <c r="E111" t="s">
        <v>84</v>
      </c>
      <c r="F111" t="s">
        <v>152</v>
      </c>
      <c r="G111" t="s">
        <v>144</v>
      </c>
      <c r="H111" t="s">
        <v>32</v>
      </c>
      <c r="I111" t="s">
        <v>44</v>
      </c>
      <c r="J111">
        <v>11</v>
      </c>
      <c r="K111">
        <v>243000</v>
      </c>
      <c r="L111">
        <v>0.02</v>
      </c>
      <c r="M111">
        <v>2619540</v>
      </c>
      <c r="N111" t="s">
        <v>140</v>
      </c>
      <c r="O111" t="s">
        <v>95</v>
      </c>
      <c r="P111" t="s">
        <v>61</v>
      </c>
    </row>
    <row r="112" spans="1:16" x14ac:dyDescent="0.3">
      <c r="A112" t="s">
        <v>300</v>
      </c>
      <c r="B112" s="2">
        <v>45737</v>
      </c>
      <c r="C112" t="s">
        <v>67</v>
      </c>
      <c r="D112" t="s">
        <v>68</v>
      </c>
      <c r="E112" t="s">
        <v>69</v>
      </c>
      <c r="F112" t="s">
        <v>70</v>
      </c>
      <c r="G112" t="s">
        <v>301</v>
      </c>
      <c r="H112" t="s">
        <v>32</v>
      </c>
      <c r="I112" t="s">
        <v>33</v>
      </c>
      <c r="J112">
        <v>8</v>
      </c>
      <c r="K112">
        <v>83000</v>
      </c>
      <c r="L112">
        <v>0.05</v>
      </c>
      <c r="M112">
        <v>-630800</v>
      </c>
      <c r="N112" t="s">
        <v>53</v>
      </c>
      <c r="O112" t="s">
        <v>175</v>
      </c>
      <c r="P112" t="s">
        <v>183</v>
      </c>
    </row>
    <row r="113" spans="1:16" x14ac:dyDescent="0.3">
      <c r="A113" t="s">
        <v>302</v>
      </c>
      <c r="B113" s="2">
        <v>45962</v>
      </c>
      <c r="C113" t="s">
        <v>17</v>
      </c>
      <c r="D113" t="s">
        <v>18</v>
      </c>
      <c r="E113" t="s">
        <v>132</v>
      </c>
      <c r="F113" t="s">
        <v>73</v>
      </c>
      <c r="G113" t="s">
        <v>109</v>
      </c>
      <c r="H113" t="s">
        <v>32</v>
      </c>
      <c r="I113" t="s">
        <v>44</v>
      </c>
      <c r="J113">
        <v>9</v>
      </c>
      <c r="K113" t="s">
        <v>283</v>
      </c>
      <c r="L113">
        <v>0</v>
      </c>
      <c r="M113">
        <v>1404000</v>
      </c>
      <c r="N113" t="s">
        <v>94</v>
      </c>
      <c r="O113" t="s">
        <v>25</v>
      </c>
      <c r="P113" t="s">
        <v>54</v>
      </c>
    </row>
    <row r="114" spans="1:16" x14ac:dyDescent="0.3">
      <c r="A114" t="s">
        <v>303</v>
      </c>
      <c r="B114" s="2">
        <v>45664</v>
      </c>
      <c r="C114" t="s">
        <v>214</v>
      </c>
      <c r="D114" t="s">
        <v>102</v>
      </c>
      <c r="E114" t="s">
        <v>162</v>
      </c>
      <c r="F114" t="s">
        <v>203</v>
      </c>
      <c r="G114" t="s">
        <v>57</v>
      </c>
      <c r="H114" t="s">
        <v>32</v>
      </c>
      <c r="I114" t="s">
        <v>58</v>
      </c>
      <c r="J114">
        <v>15</v>
      </c>
      <c r="K114">
        <v>654000</v>
      </c>
      <c r="L114">
        <v>0.1</v>
      </c>
      <c r="M114">
        <v>-8829000</v>
      </c>
      <c r="N114" t="s">
        <v>24</v>
      </c>
      <c r="O114" t="s">
        <v>175</v>
      </c>
      <c r="P114" t="s">
        <v>164</v>
      </c>
    </row>
    <row r="115" spans="1:16" x14ac:dyDescent="0.3">
      <c r="A115" t="s">
        <v>304</v>
      </c>
      <c r="B115" s="2">
        <v>45845</v>
      </c>
      <c r="C115" t="s">
        <v>89</v>
      </c>
      <c r="D115" t="s">
        <v>90</v>
      </c>
      <c r="E115" t="s">
        <v>19</v>
      </c>
      <c r="F115" t="s">
        <v>20</v>
      </c>
      <c r="G115" t="s">
        <v>57</v>
      </c>
      <c r="H115" t="s">
        <v>32</v>
      </c>
      <c r="I115" t="s">
        <v>58</v>
      </c>
      <c r="J115">
        <v>10</v>
      </c>
      <c r="K115">
        <v>603000</v>
      </c>
      <c r="L115">
        <v>0</v>
      </c>
      <c r="M115">
        <v>-6030000</v>
      </c>
      <c r="N115" t="s">
        <v>94</v>
      </c>
      <c r="O115" t="s">
        <v>145</v>
      </c>
      <c r="P115" t="s">
        <v>80</v>
      </c>
    </row>
    <row r="116" spans="1:16" x14ac:dyDescent="0.3">
      <c r="A116" t="s">
        <v>305</v>
      </c>
      <c r="B116" s="2">
        <v>45933</v>
      </c>
      <c r="C116" t="s">
        <v>28</v>
      </c>
      <c r="D116" t="s">
        <v>29</v>
      </c>
      <c r="E116" t="s">
        <v>30</v>
      </c>
      <c r="F116" t="s">
        <v>20</v>
      </c>
      <c r="G116" t="s">
        <v>137</v>
      </c>
      <c r="H116" t="s">
        <v>138</v>
      </c>
      <c r="I116" t="s">
        <v>138</v>
      </c>
      <c r="J116">
        <v>13</v>
      </c>
      <c r="K116">
        <v>30000</v>
      </c>
      <c r="L116">
        <v>0.05</v>
      </c>
      <c r="M116">
        <v>370500</v>
      </c>
      <c r="N116" t="s">
        <v>53</v>
      </c>
      <c r="O116" t="s">
        <v>25</v>
      </c>
      <c r="P116" t="s">
        <v>111</v>
      </c>
    </row>
    <row r="117" spans="1:16" x14ac:dyDescent="0.3">
      <c r="A117" t="s">
        <v>306</v>
      </c>
      <c r="B117" s="2">
        <v>45920</v>
      </c>
      <c r="C117" t="s">
        <v>28</v>
      </c>
      <c r="D117" t="s">
        <v>29</v>
      </c>
      <c r="E117" t="s">
        <v>30</v>
      </c>
      <c r="F117" t="s">
        <v>20</v>
      </c>
      <c r="G117" t="s">
        <v>71</v>
      </c>
      <c r="H117" t="s">
        <v>32</v>
      </c>
      <c r="I117" t="s">
        <v>33</v>
      </c>
      <c r="J117">
        <v>4</v>
      </c>
      <c r="K117">
        <v>274000</v>
      </c>
      <c r="L117">
        <v>0</v>
      </c>
      <c r="M117" t="s">
        <v>307</v>
      </c>
      <c r="N117" t="s">
        <v>94</v>
      </c>
      <c r="O117" t="s">
        <v>75</v>
      </c>
      <c r="P117" t="s">
        <v>244</v>
      </c>
    </row>
    <row r="118" spans="1:16" x14ac:dyDescent="0.3">
      <c r="A118" t="s">
        <v>308</v>
      </c>
      <c r="B118" s="2">
        <v>45674</v>
      </c>
      <c r="C118" t="s">
        <v>82</v>
      </c>
      <c r="D118" t="s">
        <v>83</v>
      </c>
      <c r="E118" t="s">
        <v>84</v>
      </c>
      <c r="F118" t="s">
        <v>85</v>
      </c>
      <c r="G118" t="s">
        <v>57</v>
      </c>
      <c r="H118" t="s">
        <v>32</v>
      </c>
      <c r="I118" t="s">
        <v>58</v>
      </c>
      <c r="J118">
        <v>11</v>
      </c>
      <c r="K118" t="s">
        <v>309</v>
      </c>
      <c r="L118">
        <v>0.1</v>
      </c>
      <c r="M118">
        <v>7474500</v>
      </c>
      <c r="N118" t="s">
        <v>35</v>
      </c>
      <c r="O118" t="s">
        <v>95</v>
      </c>
      <c r="P118" t="s">
        <v>111</v>
      </c>
    </row>
    <row r="119" spans="1:16" x14ac:dyDescent="0.3">
      <c r="A119" t="s">
        <v>310</v>
      </c>
      <c r="B119" s="2">
        <v>45931</v>
      </c>
      <c r="C119" t="s">
        <v>154</v>
      </c>
      <c r="D119" t="s">
        <v>131</v>
      </c>
      <c r="E119" t="s">
        <v>132</v>
      </c>
      <c r="F119" t="s">
        <v>20</v>
      </c>
      <c r="G119" t="s">
        <v>64</v>
      </c>
      <c r="H119" t="s">
        <v>32</v>
      </c>
      <c r="I119" t="s">
        <v>65</v>
      </c>
      <c r="J119">
        <v>7</v>
      </c>
      <c r="K119">
        <v>477000</v>
      </c>
      <c r="L119">
        <v>0.05</v>
      </c>
      <c r="M119">
        <v>3172050</v>
      </c>
      <c r="N119" t="s">
        <v>35</v>
      </c>
      <c r="O119" t="s">
        <v>145</v>
      </c>
      <c r="P119" t="s">
        <v>61</v>
      </c>
    </row>
    <row r="120" spans="1:16" x14ac:dyDescent="0.3">
      <c r="A120" t="s">
        <v>199</v>
      </c>
      <c r="B120" s="2">
        <v>45748</v>
      </c>
      <c r="C120" t="s">
        <v>190</v>
      </c>
      <c r="D120" t="s">
        <v>191</v>
      </c>
      <c r="E120" t="s">
        <v>41</v>
      </c>
      <c r="F120" t="s">
        <v>77</v>
      </c>
      <c r="G120" t="s">
        <v>128</v>
      </c>
      <c r="H120" t="s">
        <v>22</v>
      </c>
      <c r="I120" t="s">
        <v>92</v>
      </c>
      <c r="J120">
        <v>13</v>
      </c>
      <c r="K120">
        <v>205000</v>
      </c>
      <c r="L120">
        <v>0</v>
      </c>
      <c r="M120">
        <v>2665000</v>
      </c>
      <c r="N120" t="s">
        <v>94</v>
      </c>
      <c r="O120" t="s">
        <v>25</v>
      </c>
      <c r="P120" t="s">
        <v>61</v>
      </c>
    </row>
    <row r="121" spans="1:16" x14ac:dyDescent="0.3">
      <c r="A121" t="s">
        <v>311</v>
      </c>
      <c r="B121" s="2">
        <v>45989</v>
      </c>
      <c r="C121" t="s">
        <v>56</v>
      </c>
      <c r="D121" t="s">
        <v>18</v>
      </c>
      <c r="E121" t="s">
        <v>42</v>
      </c>
      <c r="F121" t="s">
        <v>42</v>
      </c>
      <c r="G121" t="s">
        <v>312</v>
      </c>
      <c r="H121" t="s">
        <v>22</v>
      </c>
      <c r="I121" t="s">
        <v>92</v>
      </c>
      <c r="J121">
        <v>14</v>
      </c>
      <c r="K121">
        <v>190000</v>
      </c>
      <c r="L121">
        <v>0.05</v>
      </c>
      <c r="M121">
        <v>2527000</v>
      </c>
      <c r="N121" t="s">
        <v>86</v>
      </c>
      <c r="O121" t="s">
        <v>175</v>
      </c>
      <c r="P121" t="s">
        <v>61</v>
      </c>
    </row>
    <row r="122" spans="1:16" x14ac:dyDescent="0.3">
      <c r="A122" t="s">
        <v>313</v>
      </c>
      <c r="B122" s="2">
        <v>45849</v>
      </c>
      <c r="C122" t="s">
        <v>135</v>
      </c>
      <c r="D122" t="s">
        <v>50</v>
      </c>
      <c r="E122" t="s">
        <v>107</v>
      </c>
      <c r="F122" t="s">
        <v>108</v>
      </c>
      <c r="G122" t="s">
        <v>160</v>
      </c>
      <c r="H122" t="s">
        <v>22</v>
      </c>
      <c r="I122" t="s">
        <v>23</v>
      </c>
      <c r="J122">
        <v>8</v>
      </c>
      <c r="K122">
        <v>76000</v>
      </c>
      <c r="L122">
        <v>0.1</v>
      </c>
      <c r="M122">
        <v>-547200</v>
      </c>
      <c r="N122" t="s">
        <v>53</v>
      </c>
      <c r="O122" t="s">
        <v>75</v>
      </c>
      <c r="P122" t="s">
        <v>183</v>
      </c>
    </row>
    <row r="123" spans="1:16" x14ac:dyDescent="0.3">
      <c r="A123" t="s">
        <v>314</v>
      </c>
      <c r="B123" s="2">
        <v>46021</v>
      </c>
      <c r="C123" t="s">
        <v>89</v>
      </c>
      <c r="D123" t="s">
        <v>90</v>
      </c>
      <c r="E123" t="s">
        <v>132</v>
      </c>
      <c r="F123" t="s">
        <v>203</v>
      </c>
      <c r="G123" t="s">
        <v>64</v>
      </c>
      <c r="H123" t="s">
        <v>32</v>
      </c>
      <c r="I123" t="s">
        <v>65</v>
      </c>
      <c r="J123">
        <v>11</v>
      </c>
      <c r="K123">
        <v>516000</v>
      </c>
      <c r="L123">
        <v>0</v>
      </c>
      <c r="M123">
        <v>5676000</v>
      </c>
      <c r="N123" t="s">
        <v>86</v>
      </c>
      <c r="O123" t="s">
        <v>46</v>
      </c>
      <c r="P123" t="s">
        <v>121</v>
      </c>
    </row>
    <row r="124" spans="1:16" x14ac:dyDescent="0.3">
      <c r="A124" t="s">
        <v>315</v>
      </c>
      <c r="B124" s="2">
        <v>45896</v>
      </c>
      <c r="C124" t="s">
        <v>214</v>
      </c>
      <c r="D124" t="s">
        <v>102</v>
      </c>
      <c r="E124" t="s">
        <v>19</v>
      </c>
      <c r="F124" t="s">
        <v>203</v>
      </c>
      <c r="G124" t="s">
        <v>178</v>
      </c>
      <c r="H124" t="s">
        <v>101</v>
      </c>
      <c r="I124" t="s">
        <v>179</v>
      </c>
      <c r="J124">
        <v>13</v>
      </c>
      <c r="K124">
        <v>106000</v>
      </c>
      <c r="L124">
        <v>0</v>
      </c>
      <c r="M124">
        <v>1378000</v>
      </c>
      <c r="N124" t="s">
        <v>35</v>
      </c>
      <c r="O124" t="s">
        <v>145</v>
      </c>
      <c r="P124" t="s">
        <v>87</v>
      </c>
    </row>
    <row r="125" spans="1:16" x14ac:dyDescent="0.3">
      <c r="A125" t="s">
        <v>316</v>
      </c>
      <c r="B125" s="2">
        <v>45830</v>
      </c>
      <c r="C125" t="s">
        <v>113</v>
      </c>
      <c r="D125" t="s">
        <v>29</v>
      </c>
      <c r="E125" t="s">
        <v>187</v>
      </c>
      <c r="F125" t="s">
        <v>99</v>
      </c>
      <c r="G125" t="s">
        <v>178</v>
      </c>
      <c r="H125" t="s">
        <v>101</v>
      </c>
      <c r="I125" t="s">
        <v>179</v>
      </c>
      <c r="J125">
        <v>7</v>
      </c>
      <c r="K125">
        <v>84000</v>
      </c>
      <c r="L125">
        <v>0.05</v>
      </c>
      <c r="M125">
        <v>558600</v>
      </c>
      <c r="N125" t="s">
        <v>35</v>
      </c>
      <c r="O125" t="s">
        <v>36</v>
      </c>
      <c r="P125" t="s">
        <v>61</v>
      </c>
    </row>
    <row r="126" spans="1:16" x14ac:dyDescent="0.3">
      <c r="A126" t="s">
        <v>317</v>
      </c>
      <c r="B126" s="2">
        <v>45850</v>
      </c>
      <c r="C126" t="s">
        <v>67</v>
      </c>
      <c r="D126" t="s">
        <v>68</v>
      </c>
      <c r="E126" t="s">
        <v>69</v>
      </c>
      <c r="F126" t="s">
        <v>70</v>
      </c>
      <c r="G126" t="s">
        <v>301</v>
      </c>
      <c r="H126" t="s">
        <v>32</v>
      </c>
      <c r="I126" t="s">
        <v>33</v>
      </c>
      <c r="J126">
        <v>10</v>
      </c>
      <c r="K126" t="s">
        <v>318</v>
      </c>
      <c r="L126">
        <v>0</v>
      </c>
      <c r="M126">
        <v>0</v>
      </c>
      <c r="N126" t="s">
        <v>53</v>
      </c>
      <c r="O126" t="s">
        <v>95</v>
      </c>
      <c r="P126" t="s">
        <v>37</v>
      </c>
    </row>
    <row r="127" spans="1:16" x14ac:dyDescent="0.3">
      <c r="A127" t="s">
        <v>319</v>
      </c>
      <c r="B127" s="2">
        <v>45786</v>
      </c>
      <c r="C127" t="s">
        <v>113</v>
      </c>
      <c r="D127" t="s">
        <v>29</v>
      </c>
      <c r="E127" t="s">
        <v>187</v>
      </c>
      <c r="F127" t="s">
        <v>99</v>
      </c>
      <c r="G127" t="s">
        <v>178</v>
      </c>
      <c r="H127" t="s">
        <v>101</v>
      </c>
      <c r="I127" t="s">
        <v>179</v>
      </c>
      <c r="J127">
        <v>5</v>
      </c>
      <c r="K127">
        <v>89000</v>
      </c>
      <c r="L127">
        <v>0.1</v>
      </c>
      <c r="M127" t="s">
        <v>320</v>
      </c>
      <c r="N127" t="s">
        <v>94</v>
      </c>
      <c r="O127" t="s">
        <v>145</v>
      </c>
      <c r="P127" t="s">
        <v>87</v>
      </c>
    </row>
    <row r="128" spans="1:16" x14ac:dyDescent="0.3">
      <c r="A128" t="s">
        <v>321</v>
      </c>
      <c r="B128" s="2">
        <v>45683</v>
      </c>
      <c r="C128" t="s">
        <v>28</v>
      </c>
      <c r="D128" t="s">
        <v>29</v>
      </c>
      <c r="E128" t="s">
        <v>30</v>
      </c>
      <c r="F128" t="s">
        <v>203</v>
      </c>
      <c r="G128" t="s">
        <v>137</v>
      </c>
      <c r="H128" t="s">
        <v>138</v>
      </c>
      <c r="I128" t="s">
        <v>138</v>
      </c>
      <c r="J128">
        <v>2</v>
      </c>
      <c r="K128" t="s">
        <v>322</v>
      </c>
      <c r="L128">
        <v>0</v>
      </c>
      <c r="M128">
        <v>62000</v>
      </c>
      <c r="N128" t="s">
        <v>94</v>
      </c>
      <c r="O128" t="s">
        <v>175</v>
      </c>
      <c r="P128" t="s">
        <v>244</v>
      </c>
    </row>
    <row r="129" spans="1:16" x14ac:dyDescent="0.3">
      <c r="A129" t="s">
        <v>216</v>
      </c>
      <c r="B129" s="2">
        <v>45978</v>
      </c>
      <c r="C129" t="s">
        <v>63</v>
      </c>
      <c r="D129" t="s">
        <v>18</v>
      </c>
      <c r="E129" t="s">
        <v>77</v>
      </c>
      <c r="F129" t="s">
        <v>42</v>
      </c>
      <c r="G129" t="s">
        <v>169</v>
      </c>
      <c r="H129" t="s">
        <v>22</v>
      </c>
      <c r="I129" t="s">
        <v>23</v>
      </c>
      <c r="J129">
        <v>3</v>
      </c>
      <c r="K129">
        <v>41000</v>
      </c>
      <c r="L129">
        <v>0.05</v>
      </c>
      <c r="M129">
        <v>-116850</v>
      </c>
      <c r="N129" t="s">
        <v>86</v>
      </c>
      <c r="O129" t="s">
        <v>36</v>
      </c>
      <c r="P129" t="s">
        <v>164</v>
      </c>
    </row>
    <row r="130" spans="1:16" x14ac:dyDescent="0.3">
      <c r="A130" t="s">
        <v>323</v>
      </c>
      <c r="B130" s="2">
        <v>45972</v>
      </c>
      <c r="C130" t="s">
        <v>130</v>
      </c>
      <c r="D130" t="s">
        <v>131</v>
      </c>
      <c r="E130" t="s">
        <v>19</v>
      </c>
      <c r="F130" t="s">
        <v>20</v>
      </c>
      <c r="G130" t="s">
        <v>21</v>
      </c>
      <c r="H130" t="s">
        <v>22</v>
      </c>
      <c r="I130" t="s">
        <v>23</v>
      </c>
      <c r="J130">
        <v>11</v>
      </c>
      <c r="K130">
        <v>18000</v>
      </c>
      <c r="L130">
        <v>0</v>
      </c>
      <c r="M130">
        <v>198000</v>
      </c>
      <c r="N130" t="s">
        <v>324</v>
      </c>
      <c r="O130" t="s">
        <v>46</v>
      </c>
      <c r="P130" t="s">
        <v>61</v>
      </c>
    </row>
    <row r="131" spans="1:16" x14ac:dyDescent="0.3">
      <c r="A131" t="s">
        <v>304</v>
      </c>
      <c r="B131" s="2">
        <v>45845</v>
      </c>
      <c r="C131" t="s">
        <v>89</v>
      </c>
      <c r="D131" t="s">
        <v>90</v>
      </c>
      <c r="E131" t="s">
        <v>19</v>
      </c>
      <c r="F131" t="s">
        <v>20</v>
      </c>
      <c r="G131" t="s">
        <v>57</v>
      </c>
      <c r="H131" t="s">
        <v>32</v>
      </c>
      <c r="I131" t="s">
        <v>58</v>
      </c>
      <c r="J131">
        <v>10</v>
      </c>
      <c r="K131">
        <v>603000</v>
      </c>
      <c r="L131">
        <v>0</v>
      </c>
      <c r="M131">
        <v>-6030000</v>
      </c>
      <c r="N131" t="s">
        <v>94</v>
      </c>
      <c r="O131" t="s">
        <v>145</v>
      </c>
      <c r="P131" t="s">
        <v>80</v>
      </c>
    </row>
    <row r="132" spans="1:16" x14ac:dyDescent="0.3">
      <c r="A132" t="s">
        <v>325</v>
      </c>
      <c r="B132" s="2">
        <v>45682</v>
      </c>
      <c r="C132" t="s">
        <v>154</v>
      </c>
      <c r="D132" t="s">
        <v>131</v>
      </c>
      <c r="E132" t="s">
        <v>19</v>
      </c>
      <c r="F132" t="s">
        <v>20</v>
      </c>
      <c r="G132" t="s">
        <v>57</v>
      </c>
      <c r="H132" t="s">
        <v>32</v>
      </c>
      <c r="I132" t="s">
        <v>58</v>
      </c>
      <c r="J132">
        <v>6</v>
      </c>
      <c r="K132">
        <v>762000</v>
      </c>
      <c r="L132">
        <v>0.02</v>
      </c>
      <c r="M132">
        <v>0</v>
      </c>
      <c r="N132" t="s">
        <v>24</v>
      </c>
      <c r="O132" t="s">
        <v>25</v>
      </c>
      <c r="P132" t="s">
        <v>37</v>
      </c>
    </row>
    <row r="133" spans="1:16" x14ac:dyDescent="0.3">
      <c r="A133" t="s">
        <v>326</v>
      </c>
      <c r="B133" s="2">
        <v>45809</v>
      </c>
      <c r="C133" t="s">
        <v>56</v>
      </c>
      <c r="D133" t="s">
        <v>18</v>
      </c>
      <c r="E133" t="s">
        <v>41</v>
      </c>
      <c r="F133" t="s">
        <v>97</v>
      </c>
      <c r="G133" t="s">
        <v>295</v>
      </c>
      <c r="H133" t="s">
        <v>32</v>
      </c>
      <c r="I133" t="s">
        <v>58</v>
      </c>
      <c r="J133">
        <v>10</v>
      </c>
      <c r="K133">
        <v>380000</v>
      </c>
      <c r="L133">
        <v>0.02</v>
      </c>
      <c r="M133" t="s">
        <v>327</v>
      </c>
      <c r="N133" t="s">
        <v>140</v>
      </c>
      <c r="O133" t="s">
        <v>46</v>
      </c>
      <c r="P133" t="s">
        <v>47</v>
      </c>
    </row>
    <row r="134" spans="1:16" x14ac:dyDescent="0.3">
      <c r="A134" t="s">
        <v>328</v>
      </c>
      <c r="B134" s="2">
        <v>45863</v>
      </c>
      <c r="C134" t="s">
        <v>17</v>
      </c>
      <c r="D134" t="s">
        <v>18</v>
      </c>
      <c r="E134" t="s">
        <v>19</v>
      </c>
      <c r="F134" t="s">
        <v>20</v>
      </c>
      <c r="G134" t="s">
        <v>208</v>
      </c>
      <c r="H134" t="s">
        <v>209</v>
      </c>
      <c r="I134" t="s">
        <v>65</v>
      </c>
      <c r="J134">
        <v>1</v>
      </c>
      <c r="K134">
        <v>98000</v>
      </c>
      <c r="L134">
        <v>0.05</v>
      </c>
      <c r="M134">
        <v>93100</v>
      </c>
      <c r="N134" t="s">
        <v>53</v>
      </c>
      <c r="O134" t="s">
        <v>95</v>
      </c>
      <c r="P134" t="s">
        <v>111</v>
      </c>
    </row>
    <row r="135" spans="1:16" x14ac:dyDescent="0.3">
      <c r="A135" t="s">
        <v>329</v>
      </c>
      <c r="B135" s="2">
        <v>45892</v>
      </c>
      <c r="C135" t="s">
        <v>159</v>
      </c>
      <c r="D135" t="s">
        <v>131</v>
      </c>
      <c r="E135" t="s">
        <v>187</v>
      </c>
      <c r="F135" t="s">
        <v>114</v>
      </c>
      <c r="G135" t="s">
        <v>160</v>
      </c>
      <c r="H135" t="s">
        <v>22</v>
      </c>
      <c r="I135" t="s">
        <v>23</v>
      </c>
      <c r="J135">
        <v>6</v>
      </c>
      <c r="K135">
        <v>78000</v>
      </c>
      <c r="L135">
        <v>0.02</v>
      </c>
      <c r="M135">
        <v>458640</v>
      </c>
      <c r="N135" t="s">
        <v>53</v>
      </c>
      <c r="O135" t="s">
        <v>60</v>
      </c>
      <c r="P135" t="s">
        <v>61</v>
      </c>
    </row>
    <row r="136" spans="1:16" x14ac:dyDescent="0.3">
      <c r="A136" t="s">
        <v>330</v>
      </c>
      <c r="B136" s="2">
        <v>45899</v>
      </c>
      <c r="C136" t="s">
        <v>63</v>
      </c>
      <c r="D136" t="s">
        <v>18</v>
      </c>
      <c r="E136" t="s">
        <v>42</v>
      </c>
      <c r="F136" t="s">
        <v>97</v>
      </c>
      <c r="G136" t="s">
        <v>178</v>
      </c>
      <c r="H136" t="s">
        <v>101</v>
      </c>
      <c r="I136" t="s">
        <v>179</v>
      </c>
      <c r="J136">
        <v>1</v>
      </c>
      <c r="K136" t="s">
        <v>331</v>
      </c>
      <c r="L136">
        <v>0.05</v>
      </c>
      <c r="M136">
        <v>0</v>
      </c>
      <c r="N136" t="s">
        <v>86</v>
      </c>
      <c r="O136" t="s">
        <v>60</v>
      </c>
      <c r="P136" t="s">
        <v>26</v>
      </c>
    </row>
    <row r="137" spans="1:16" x14ac:dyDescent="0.3">
      <c r="A137" t="s">
        <v>332</v>
      </c>
      <c r="B137" s="2">
        <v>45789</v>
      </c>
      <c r="D137" t="s">
        <v>18</v>
      </c>
      <c r="E137" t="s">
        <v>19</v>
      </c>
      <c r="F137" t="s">
        <v>203</v>
      </c>
      <c r="G137" t="s">
        <v>21</v>
      </c>
      <c r="H137" t="s">
        <v>22</v>
      </c>
      <c r="I137" t="s">
        <v>23</v>
      </c>
      <c r="J137">
        <v>5</v>
      </c>
      <c r="K137">
        <v>19000</v>
      </c>
      <c r="L137">
        <v>0.02</v>
      </c>
      <c r="M137">
        <v>93100</v>
      </c>
      <c r="N137" t="s">
        <v>53</v>
      </c>
      <c r="O137" t="s">
        <v>175</v>
      </c>
      <c r="P137" t="s">
        <v>61</v>
      </c>
    </row>
    <row r="138" spans="1:16" x14ac:dyDescent="0.3">
      <c r="A138" t="s">
        <v>333</v>
      </c>
      <c r="B138" s="2">
        <v>45811</v>
      </c>
      <c r="C138" t="s">
        <v>39</v>
      </c>
      <c r="D138" t="s">
        <v>40</v>
      </c>
      <c r="E138" t="s">
        <v>42</v>
      </c>
      <c r="F138" t="s">
        <v>41</v>
      </c>
      <c r="G138" t="s">
        <v>71</v>
      </c>
      <c r="H138" t="s">
        <v>32</v>
      </c>
      <c r="I138" t="s">
        <v>33</v>
      </c>
      <c r="J138">
        <v>8</v>
      </c>
      <c r="K138">
        <v>277000</v>
      </c>
      <c r="L138">
        <v>0</v>
      </c>
      <c r="M138">
        <v>2216000</v>
      </c>
      <c r="O138" t="s">
        <v>95</v>
      </c>
      <c r="P138" t="s">
        <v>61</v>
      </c>
    </row>
    <row r="139" spans="1:16" x14ac:dyDescent="0.3">
      <c r="A139" t="s">
        <v>334</v>
      </c>
      <c r="B139" s="2">
        <v>45838</v>
      </c>
      <c r="C139" t="s">
        <v>159</v>
      </c>
      <c r="D139" t="s">
        <v>131</v>
      </c>
      <c r="E139" t="s">
        <v>187</v>
      </c>
      <c r="F139" t="s">
        <v>114</v>
      </c>
      <c r="G139" t="s">
        <v>128</v>
      </c>
      <c r="H139" t="s">
        <v>22</v>
      </c>
      <c r="I139" t="s">
        <v>92</v>
      </c>
      <c r="J139">
        <v>4</v>
      </c>
      <c r="K139">
        <v>219000</v>
      </c>
      <c r="L139">
        <v>0</v>
      </c>
      <c r="M139">
        <v>876000</v>
      </c>
      <c r="N139" t="s">
        <v>53</v>
      </c>
      <c r="O139" t="s">
        <v>36</v>
      </c>
      <c r="P139" t="s">
        <v>61</v>
      </c>
    </row>
    <row r="140" spans="1:16" x14ac:dyDescent="0.3">
      <c r="A140" t="s">
        <v>335</v>
      </c>
      <c r="B140" s="2">
        <v>45705</v>
      </c>
      <c r="C140" t="s">
        <v>39</v>
      </c>
      <c r="D140" t="s">
        <v>40</v>
      </c>
      <c r="E140" t="s">
        <v>42</v>
      </c>
      <c r="F140" t="s">
        <v>42</v>
      </c>
      <c r="G140" t="s">
        <v>193</v>
      </c>
      <c r="H140" t="s">
        <v>32</v>
      </c>
      <c r="I140" t="s">
        <v>52</v>
      </c>
      <c r="J140">
        <v>6</v>
      </c>
      <c r="K140">
        <v>359000</v>
      </c>
      <c r="L140">
        <v>0</v>
      </c>
      <c r="M140">
        <v>2154000</v>
      </c>
      <c r="N140" t="s">
        <v>86</v>
      </c>
      <c r="O140" t="s">
        <v>25</v>
      </c>
      <c r="P140" t="s">
        <v>198</v>
      </c>
    </row>
    <row r="141" spans="1:16" x14ac:dyDescent="0.3">
      <c r="A141" t="s">
        <v>336</v>
      </c>
      <c r="B141" s="2">
        <v>45823</v>
      </c>
      <c r="C141" t="s">
        <v>159</v>
      </c>
      <c r="D141" t="s">
        <v>131</v>
      </c>
      <c r="E141" t="s">
        <v>174</v>
      </c>
      <c r="F141" t="s">
        <v>114</v>
      </c>
      <c r="G141" t="s">
        <v>64</v>
      </c>
      <c r="H141" t="s">
        <v>32</v>
      </c>
      <c r="I141" t="s">
        <v>65</v>
      </c>
      <c r="J141">
        <v>3</v>
      </c>
      <c r="K141" t="s">
        <v>337</v>
      </c>
      <c r="L141">
        <v>0.02</v>
      </c>
      <c r="M141">
        <v>0</v>
      </c>
      <c r="N141" t="s">
        <v>86</v>
      </c>
      <c r="O141" t="s">
        <v>145</v>
      </c>
      <c r="P141" t="s">
        <v>26</v>
      </c>
    </row>
    <row r="142" spans="1:16" x14ac:dyDescent="0.3">
      <c r="A142" t="s">
        <v>227</v>
      </c>
      <c r="B142" s="2">
        <v>45805</v>
      </c>
      <c r="C142" t="s">
        <v>106</v>
      </c>
      <c r="D142" t="s">
        <v>50</v>
      </c>
      <c r="E142" t="s">
        <v>107</v>
      </c>
      <c r="F142" t="s">
        <v>108</v>
      </c>
      <c r="G142" t="s">
        <v>144</v>
      </c>
      <c r="H142" t="s">
        <v>32</v>
      </c>
      <c r="I142" t="s">
        <v>44</v>
      </c>
      <c r="J142">
        <v>2</v>
      </c>
      <c r="K142" t="s">
        <v>228</v>
      </c>
      <c r="L142">
        <v>0</v>
      </c>
      <c r="M142">
        <v>-468000</v>
      </c>
      <c r="N142" t="s">
        <v>53</v>
      </c>
      <c r="O142" t="s">
        <v>36</v>
      </c>
      <c r="P142" t="s">
        <v>164</v>
      </c>
    </row>
    <row r="143" spans="1:16" x14ac:dyDescent="0.3">
      <c r="A143" t="s">
        <v>338</v>
      </c>
      <c r="B143" s="2">
        <v>46012</v>
      </c>
      <c r="C143" t="s">
        <v>190</v>
      </c>
      <c r="D143" t="s">
        <v>191</v>
      </c>
      <c r="E143" t="s">
        <v>97</v>
      </c>
      <c r="F143" t="s">
        <v>41</v>
      </c>
      <c r="G143" t="s">
        <v>204</v>
      </c>
      <c r="H143" t="s">
        <v>101</v>
      </c>
      <c r="I143" t="s">
        <v>156</v>
      </c>
      <c r="J143">
        <v>5</v>
      </c>
      <c r="K143">
        <v>141000</v>
      </c>
      <c r="L143">
        <v>0</v>
      </c>
      <c r="M143">
        <v>705000</v>
      </c>
      <c r="N143" t="s">
        <v>53</v>
      </c>
      <c r="O143" t="s">
        <v>175</v>
      </c>
      <c r="P143" t="s">
        <v>61</v>
      </c>
    </row>
    <row r="144" spans="1:16" x14ac:dyDescent="0.3">
      <c r="A144" t="s">
        <v>339</v>
      </c>
      <c r="B144" s="2">
        <v>45893</v>
      </c>
      <c r="C144" t="s">
        <v>135</v>
      </c>
      <c r="D144" t="s">
        <v>50</v>
      </c>
      <c r="E144" t="s">
        <v>107</v>
      </c>
      <c r="F144" t="s">
        <v>108</v>
      </c>
      <c r="G144" t="s">
        <v>21</v>
      </c>
      <c r="H144" t="s">
        <v>22</v>
      </c>
      <c r="I144" t="s">
        <v>23</v>
      </c>
      <c r="J144">
        <v>7</v>
      </c>
      <c r="K144">
        <v>17000</v>
      </c>
      <c r="L144">
        <v>0.05</v>
      </c>
      <c r="M144">
        <v>113050</v>
      </c>
      <c r="N144" t="s">
        <v>35</v>
      </c>
      <c r="O144" t="s">
        <v>95</v>
      </c>
      <c r="P144" t="s">
        <v>54</v>
      </c>
    </row>
    <row r="145" spans="1:16" x14ac:dyDescent="0.3">
      <c r="A145" t="s">
        <v>340</v>
      </c>
      <c r="B145" s="2">
        <v>45882</v>
      </c>
      <c r="C145" t="s">
        <v>117</v>
      </c>
      <c r="D145" t="s">
        <v>68</v>
      </c>
      <c r="E145" t="s">
        <v>123</v>
      </c>
      <c r="F145" t="s">
        <v>297</v>
      </c>
      <c r="G145" t="s">
        <v>341</v>
      </c>
      <c r="H145" t="s">
        <v>101</v>
      </c>
      <c r="I145" t="s">
        <v>102</v>
      </c>
      <c r="J145">
        <v>11</v>
      </c>
      <c r="K145">
        <v>134000</v>
      </c>
      <c r="L145">
        <v>0.02</v>
      </c>
      <c r="M145">
        <v>0</v>
      </c>
      <c r="N145" t="s">
        <v>94</v>
      </c>
      <c r="O145" t="s">
        <v>25</v>
      </c>
      <c r="P145" t="s">
        <v>104</v>
      </c>
    </row>
    <row r="146" spans="1:16" x14ac:dyDescent="0.3">
      <c r="A146" t="s">
        <v>342</v>
      </c>
      <c r="B146" s="2">
        <v>45991</v>
      </c>
      <c r="C146" t="s">
        <v>82</v>
      </c>
      <c r="D146" t="s">
        <v>83</v>
      </c>
      <c r="E146" t="s">
        <v>84</v>
      </c>
      <c r="F146" t="s">
        <v>85</v>
      </c>
      <c r="G146" t="s">
        <v>155</v>
      </c>
      <c r="H146" t="s">
        <v>101</v>
      </c>
      <c r="I146" t="s">
        <v>156</v>
      </c>
      <c r="J146">
        <v>15</v>
      </c>
      <c r="K146">
        <v>165000</v>
      </c>
      <c r="M146" t="s">
        <v>343</v>
      </c>
      <c r="N146" t="s">
        <v>94</v>
      </c>
      <c r="O146" t="s">
        <v>60</v>
      </c>
      <c r="P146" t="s">
        <v>183</v>
      </c>
    </row>
    <row r="147" spans="1:16" x14ac:dyDescent="0.3">
      <c r="A147" t="s">
        <v>344</v>
      </c>
      <c r="B147" s="2">
        <v>45679</v>
      </c>
      <c r="C147" t="s">
        <v>17</v>
      </c>
      <c r="D147" t="s">
        <v>18</v>
      </c>
      <c r="E147" t="s">
        <v>19</v>
      </c>
      <c r="F147" t="s">
        <v>133</v>
      </c>
      <c r="G147" t="s">
        <v>109</v>
      </c>
      <c r="H147" t="s">
        <v>32</v>
      </c>
      <c r="I147" t="s">
        <v>44</v>
      </c>
      <c r="J147">
        <v>14</v>
      </c>
      <c r="K147">
        <v>163000</v>
      </c>
      <c r="L147">
        <v>0.02</v>
      </c>
      <c r="M147">
        <v>2236360</v>
      </c>
      <c r="N147" t="s">
        <v>86</v>
      </c>
      <c r="O147" t="s">
        <v>95</v>
      </c>
      <c r="P147" t="s">
        <v>61</v>
      </c>
    </row>
    <row r="148" spans="1:16" x14ac:dyDescent="0.3">
      <c r="A148" t="s">
        <v>345</v>
      </c>
      <c r="B148" s="2">
        <v>45764</v>
      </c>
      <c r="C148" t="s">
        <v>147</v>
      </c>
      <c r="D148" t="s">
        <v>18</v>
      </c>
      <c r="E148" t="s">
        <v>148</v>
      </c>
      <c r="F148" t="s">
        <v>149</v>
      </c>
      <c r="G148" t="s">
        <v>272</v>
      </c>
      <c r="H148" t="s">
        <v>101</v>
      </c>
      <c r="I148" t="s">
        <v>102</v>
      </c>
      <c r="J148">
        <v>8</v>
      </c>
      <c r="K148">
        <v>114000</v>
      </c>
      <c r="L148">
        <v>0.02</v>
      </c>
      <c r="M148">
        <v>893760</v>
      </c>
      <c r="N148" t="s">
        <v>86</v>
      </c>
      <c r="O148" t="s">
        <v>95</v>
      </c>
      <c r="P148" t="s">
        <v>61</v>
      </c>
    </row>
    <row r="149" spans="1:16" x14ac:dyDescent="0.3">
      <c r="A149" t="s">
        <v>251</v>
      </c>
      <c r="B149" s="2">
        <v>45682</v>
      </c>
      <c r="C149" t="s">
        <v>159</v>
      </c>
      <c r="D149" t="s">
        <v>131</v>
      </c>
      <c r="E149" t="s">
        <v>168</v>
      </c>
      <c r="F149" t="s">
        <v>85</v>
      </c>
      <c r="G149" t="s">
        <v>178</v>
      </c>
      <c r="H149" t="s">
        <v>101</v>
      </c>
      <c r="I149" t="s">
        <v>179</v>
      </c>
      <c r="J149">
        <v>6</v>
      </c>
      <c r="K149">
        <v>109000</v>
      </c>
      <c r="L149">
        <v>0</v>
      </c>
      <c r="M149">
        <v>-654000</v>
      </c>
      <c r="N149" t="s">
        <v>94</v>
      </c>
      <c r="O149" t="s">
        <v>25</v>
      </c>
      <c r="P149" t="s">
        <v>183</v>
      </c>
    </row>
    <row r="150" spans="1:16" x14ac:dyDescent="0.3">
      <c r="A150" t="s">
        <v>346</v>
      </c>
      <c r="B150" s="2">
        <v>45871</v>
      </c>
      <c r="C150" t="s">
        <v>39</v>
      </c>
      <c r="D150" t="s">
        <v>40</v>
      </c>
      <c r="E150" t="s">
        <v>42</v>
      </c>
      <c r="F150" t="s">
        <v>97</v>
      </c>
      <c r="G150" t="s">
        <v>235</v>
      </c>
      <c r="H150" t="s">
        <v>101</v>
      </c>
      <c r="I150" t="s">
        <v>156</v>
      </c>
      <c r="J150">
        <v>7</v>
      </c>
      <c r="K150">
        <v>187000</v>
      </c>
      <c r="L150">
        <v>0.05</v>
      </c>
      <c r="M150">
        <v>-1243550</v>
      </c>
      <c r="N150" t="s">
        <v>86</v>
      </c>
      <c r="O150" t="s">
        <v>145</v>
      </c>
      <c r="P150" t="s">
        <v>164</v>
      </c>
    </row>
    <row r="151" spans="1:16" x14ac:dyDescent="0.3">
      <c r="A151" t="s">
        <v>347</v>
      </c>
      <c r="B151" s="2">
        <v>45872</v>
      </c>
      <c r="C151" t="s">
        <v>214</v>
      </c>
      <c r="D151" t="s">
        <v>102</v>
      </c>
      <c r="E151" t="s">
        <v>19</v>
      </c>
      <c r="F151" t="s">
        <v>20</v>
      </c>
      <c r="G151" t="s">
        <v>21</v>
      </c>
      <c r="H151" t="s">
        <v>22</v>
      </c>
      <c r="I151" t="s">
        <v>23</v>
      </c>
      <c r="J151">
        <v>12</v>
      </c>
      <c r="K151">
        <v>18000</v>
      </c>
      <c r="L151">
        <v>0.05</v>
      </c>
      <c r="M151" t="s">
        <v>348</v>
      </c>
      <c r="N151" t="s">
        <v>94</v>
      </c>
      <c r="O151" t="s">
        <v>36</v>
      </c>
      <c r="P151" t="s">
        <v>87</v>
      </c>
    </row>
    <row r="152" spans="1:16" x14ac:dyDescent="0.3">
      <c r="A152" t="s">
        <v>349</v>
      </c>
      <c r="B152" s="2">
        <v>45758</v>
      </c>
      <c r="C152" t="s">
        <v>56</v>
      </c>
      <c r="D152" t="s">
        <v>18</v>
      </c>
      <c r="E152" t="s">
        <v>42</v>
      </c>
      <c r="F152" t="s">
        <v>97</v>
      </c>
      <c r="G152" t="s">
        <v>64</v>
      </c>
      <c r="H152" t="s">
        <v>32</v>
      </c>
      <c r="I152" t="s">
        <v>65</v>
      </c>
      <c r="J152">
        <v>11</v>
      </c>
      <c r="K152">
        <v>512000</v>
      </c>
      <c r="L152">
        <v>0</v>
      </c>
      <c r="M152">
        <v>0</v>
      </c>
      <c r="N152" t="s">
        <v>53</v>
      </c>
      <c r="O152" t="s">
        <v>95</v>
      </c>
      <c r="P152" t="s">
        <v>26</v>
      </c>
    </row>
    <row r="153" spans="1:16" x14ac:dyDescent="0.3">
      <c r="A153" t="s">
        <v>350</v>
      </c>
      <c r="B153" s="2">
        <v>45944</v>
      </c>
      <c r="C153" t="s">
        <v>28</v>
      </c>
      <c r="D153" t="s">
        <v>29</v>
      </c>
      <c r="E153" t="s">
        <v>30</v>
      </c>
      <c r="F153" t="s">
        <v>20</v>
      </c>
      <c r="G153" t="s">
        <v>204</v>
      </c>
      <c r="H153" t="s">
        <v>101</v>
      </c>
      <c r="I153" t="s">
        <v>156</v>
      </c>
      <c r="J153">
        <v>11</v>
      </c>
      <c r="K153">
        <v>155000</v>
      </c>
      <c r="L153">
        <v>0.05</v>
      </c>
      <c r="M153">
        <v>1619750</v>
      </c>
      <c r="N153" t="s">
        <v>103</v>
      </c>
      <c r="O153" t="s">
        <v>60</v>
      </c>
      <c r="P153" t="s">
        <v>87</v>
      </c>
    </row>
    <row r="154" spans="1:16" x14ac:dyDescent="0.3">
      <c r="A154" t="s">
        <v>351</v>
      </c>
      <c r="B154" s="2">
        <v>45917</v>
      </c>
      <c r="C154" t="s">
        <v>117</v>
      </c>
      <c r="D154" t="s">
        <v>68</v>
      </c>
      <c r="E154" t="s">
        <v>123</v>
      </c>
      <c r="F154" t="s">
        <v>297</v>
      </c>
      <c r="G154" t="s">
        <v>128</v>
      </c>
      <c r="H154" t="s">
        <v>22</v>
      </c>
      <c r="I154" t="s">
        <v>92</v>
      </c>
      <c r="J154">
        <v>3</v>
      </c>
      <c r="K154">
        <v>192000</v>
      </c>
      <c r="L154">
        <v>0.1</v>
      </c>
      <c r="M154">
        <v>-518400</v>
      </c>
      <c r="N154" t="s">
        <v>53</v>
      </c>
      <c r="O154" t="s">
        <v>75</v>
      </c>
      <c r="P154" t="s">
        <v>183</v>
      </c>
    </row>
    <row r="155" spans="1:16" x14ac:dyDescent="0.3">
      <c r="A155" t="s">
        <v>352</v>
      </c>
      <c r="B155" s="2">
        <v>45827</v>
      </c>
      <c r="C155" t="s">
        <v>214</v>
      </c>
      <c r="D155" t="s">
        <v>102</v>
      </c>
      <c r="E155" t="s">
        <v>19</v>
      </c>
      <c r="F155" t="s">
        <v>203</v>
      </c>
      <c r="G155" t="s">
        <v>144</v>
      </c>
      <c r="H155" t="s">
        <v>32</v>
      </c>
      <c r="I155" t="s">
        <v>44</v>
      </c>
      <c r="J155">
        <v>4</v>
      </c>
      <c r="K155">
        <v>217000</v>
      </c>
      <c r="L155">
        <v>0</v>
      </c>
      <c r="M155" t="s">
        <v>353</v>
      </c>
      <c r="N155" t="s">
        <v>126</v>
      </c>
      <c r="O155" t="s">
        <v>25</v>
      </c>
      <c r="P155" t="s">
        <v>87</v>
      </c>
    </row>
    <row r="156" spans="1:16" x14ac:dyDescent="0.3">
      <c r="A156" t="s">
        <v>354</v>
      </c>
      <c r="B156" s="2">
        <v>45738</v>
      </c>
      <c r="C156" t="s">
        <v>117</v>
      </c>
      <c r="D156" t="s">
        <v>68</v>
      </c>
      <c r="E156" t="s">
        <v>123</v>
      </c>
      <c r="F156" t="s">
        <v>297</v>
      </c>
      <c r="G156" t="s">
        <v>355</v>
      </c>
      <c r="H156" t="s">
        <v>22</v>
      </c>
      <c r="I156" t="s">
        <v>23</v>
      </c>
      <c r="J156">
        <v>14</v>
      </c>
      <c r="K156">
        <v>69000</v>
      </c>
      <c r="L156">
        <v>0.1</v>
      </c>
      <c r="M156">
        <v>869400</v>
      </c>
      <c r="N156" t="s">
        <v>94</v>
      </c>
      <c r="O156" t="s">
        <v>75</v>
      </c>
      <c r="P156" t="s">
        <v>61</v>
      </c>
    </row>
    <row r="157" spans="1:16" x14ac:dyDescent="0.3">
      <c r="A157" t="s">
        <v>356</v>
      </c>
      <c r="B157" s="2">
        <v>45987</v>
      </c>
      <c r="C157" t="s">
        <v>130</v>
      </c>
      <c r="D157" t="s">
        <v>131</v>
      </c>
      <c r="E157" t="s">
        <v>19</v>
      </c>
      <c r="F157" t="s">
        <v>73</v>
      </c>
      <c r="G157" t="s">
        <v>357</v>
      </c>
      <c r="H157" t="s">
        <v>32</v>
      </c>
      <c r="I157" t="s">
        <v>58</v>
      </c>
      <c r="J157">
        <v>12</v>
      </c>
      <c r="K157" t="s">
        <v>358</v>
      </c>
      <c r="L157">
        <v>0.02</v>
      </c>
      <c r="M157">
        <v>4845120</v>
      </c>
      <c r="N157" t="s">
        <v>35</v>
      </c>
      <c r="O157" t="s">
        <v>46</v>
      </c>
      <c r="P157" t="s">
        <v>61</v>
      </c>
    </row>
    <row r="158" spans="1:16" x14ac:dyDescent="0.3">
      <c r="A158" t="s">
        <v>359</v>
      </c>
      <c r="B158" s="2">
        <v>45801</v>
      </c>
      <c r="C158" t="s">
        <v>17</v>
      </c>
      <c r="D158" t="s">
        <v>18</v>
      </c>
      <c r="E158" t="s">
        <v>143</v>
      </c>
      <c r="F158" t="s">
        <v>20</v>
      </c>
      <c r="G158" t="s">
        <v>115</v>
      </c>
      <c r="H158" t="s">
        <v>32</v>
      </c>
      <c r="I158" t="s">
        <v>58</v>
      </c>
      <c r="J158">
        <v>6</v>
      </c>
      <c r="K158">
        <v>445000</v>
      </c>
      <c r="L158">
        <v>0</v>
      </c>
      <c r="M158">
        <v>-2670000</v>
      </c>
      <c r="N158" t="s">
        <v>53</v>
      </c>
      <c r="O158" t="s">
        <v>46</v>
      </c>
      <c r="P158" t="s">
        <v>164</v>
      </c>
    </row>
    <row r="159" spans="1:16" x14ac:dyDescent="0.3">
      <c r="A159" t="s">
        <v>360</v>
      </c>
      <c r="B159" s="2">
        <v>45731</v>
      </c>
      <c r="C159" t="s">
        <v>17</v>
      </c>
      <c r="D159" t="s">
        <v>18</v>
      </c>
      <c r="E159" t="s">
        <v>143</v>
      </c>
      <c r="F159" t="s">
        <v>133</v>
      </c>
      <c r="G159" t="s">
        <v>57</v>
      </c>
      <c r="H159" t="s">
        <v>32</v>
      </c>
      <c r="I159" t="s">
        <v>58</v>
      </c>
      <c r="J159">
        <v>5</v>
      </c>
      <c r="K159">
        <v>688000</v>
      </c>
      <c r="L159">
        <v>0.05</v>
      </c>
      <c r="M159">
        <v>3268000</v>
      </c>
      <c r="N159" t="s">
        <v>86</v>
      </c>
      <c r="O159" t="s">
        <v>36</v>
      </c>
      <c r="P159" t="s">
        <v>54</v>
      </c>
    </row>
    <row r="160" spans="1:16" x14ac:dyDescent="0.3">
      <c r="A160" t="s">
        <v>361</v>
      </c>
      <c r="B160" s="2">
        <v>45935</v>
      </c>
      <c r="C160" t="s">
        <v>154</v>
      </c>
      <c r="D160" t="s">
        <v>131</v>
      </c>
      <c r="E160" t="s">
        <v>19</v>
      </c>
      <c r="F160" t="s">
        <v>203</v>
      </c>
      <c r="G160" t="s">
        <v>341</v>
      </c>
      <c r="H160" t="s">
        <v>101</v>
      </c>
      <c r="I160" t="s">
        <v>102</v>
      </c>
      <c r="J160">
        <v>5</v>
      </c>
      <c r="K160">
        <v>110000</v>
      </c>
      <c r="L160">
        <v>0</v>
      </c>
      <c r="M160" t="s">
        <v>362</v>
      </c>
      <c r="N160" t="s">
        <v>86</v>
      </c>
      <c r="O160" t="s">
        <v>36</v>
      </c>
      <c r="P160" t="s">
        <v>61</v>
      </c>
    </row>
    <row r="161" spans="1:16" x14ac:dyDescent="0.3">
      <c r="A161" t="s">
        <v>363</v>
      </c>
      <c r="B161" s="2">
        <v>45919</v>
      </c>
      <c r="C161" t="s">
        <v>135</v>
      </c>
      <c r="D161" t="s">
        <v>50</v>
      </c>
      <c r="E161" t="s">
        <v>107</v>
      </c>
      <c r="F161" t="s">
        <v>108</v>
      </c>
      <c r="G161" t="s">
        <v>208</v>
      </c>
      <c r="H161" t="s">
        <v>209</v>
      </c>
      <c r="I161" t="s">
        <v>65</v>
      </c>
      <c r="J161">
        <v>6</v>
      </c>
      <c r="K161">
        <v>92000</v>
      </c>
      <c r="L161">
        <v>0.05</v>
      </c>
      <c r="M161">
        <v>-524400</v>
      </c>
      <c r="N161" t="s">
        <v>53</v>
      </c>
      <c r="O161" t="s">
        <v>46</v>
      </c>
      <c r="P161" t="s">
        <v>183</v>
      </c>
    </row>
    <row r="162" spans="1:16" x14ac:dyDescent="0.3">
      <c r="A162" t="s">
        <v>342</v>
      </c>
      <c r="B162" s="2">
        <v>45991</v>
      </c>
      <c r="C162" t="s">
        <v>82</v>
      </c>
      <c r="D162" t="s">
        <v>83</v>
      </c>
      <c r="E162" t="s">
        <v>84</v>
      </c>
      <c r="F162" t="s">
        <v>85</v>
      </c>
      <c r="G162" t="s">
        <v>155</v>
      </c>
      <c r="H162" t="s">
        <v>101</v>
      </c>
      <c r="I162" t="s">
        <v>156</v>
      </c>
      <c r="J162">
        <v>15</v>
      </c>
      <c r="K162">
        <v>165000</v>
      </c>
      <c r="M162" t="s">
        <v>343</v>
      </c>
      <c r="N162" t="s">
        <v>94</v>
      </c>
      <c r="O162" t="s">
        <v>60</v>
      </c>
      <c r="P162" t="s">
        <v>183</v>
      </c>
    </row>
    <row r="163" spans="1:16" x14ac:dyDescent="0.3">
      <c r="A163" t="s">
        <v>364</v>
      </c>
      <c r="B163" s="2">
        <v>45886</v>
      </c>
      <c r="C163" t="s">
        <v>113</v>
      </c>
      <c r="D163" t="s">
        <v>29</v>
      </c>
      <c r="E163" t="s">
        <v>168</v>
      </c>
      <c r="F163" t="s">
        <v>114</v>
      </c>
      <c r="G163" t="s">
        <v>208</v>
      </c>
      <c r="H163" t="s">
        <v>209</v>
      </c>
      <c r="I163" t="s">
        <v>65</v>
      </c>
      <c r="J163">
        <v>9</v>
      </c>
      <c r="K163" t="s">
        <v>365</v>
      </c>
      <c r="L163">
        <v>0</v>
      </c>
      <c r="M163">
        <v>828000</v>
      </c>
      <c r="N163" t="s">
        <v>86</v>
      </c>
      <c r="O163" t="s">
        <v>46</v>
      </c>
      <c r="P163" t="s">
        <v>244</v>
      </c>
    </row>
    <row r="164" spans="1:16" x14ac:dyDescent="0.3">
      <c r="A164" t="s">
        <v>366</v>
      </c>
      <c r="B164" s="2">
        <v>45773</v>
      </c>
      <c r="C164" t="s">
        <v>39</v>
      </c>
      <c r="D164" t="s">
        <v>40</v>
      </c>
      <c r="E164" t="s">
        <v>42</v>
      </c>
      <c r="F164" t="s">
        <v>77</v>
      </c>
      <c r="G164" t="s">
        <v>355</v>
      </c>
      <c r="H164" t="s">
        <v>22</v>
      </c>
      <c r="I164" t="s">
        <v>23</v>
      </c>
      <c r="J164">
        <v>2</v>
      </c>
      <c r="K164" t="s">
        <v>367</v>
      </c>
      <c r="L164">
        <v>0.1</v>
      </c>
      <c r="M164" t="s">
        <v>368</v>
      </c>
      <c r="N164" t="s">
        <v>86</v>
      </c>
      <c r="O164" t="s">
        <v>36</v>
      </c>
      <c r="P164" t="s">
        <v>183</v>
      </c>
    </row>
    <row r="165" spans="1:16" x14ac:dyDescent="0.3">
      <c r="A165" t="s">
        <v>369</v>
      </c>
      <c r="B165" s="2">
        <v>45669</v>
      </c>
      <c r="C165" t="s">
        <v>147</v>
      </c>
      <c r="D165" t="s">
        <v>18</v>
      </c>
      <c r="E165" t="s">
        <v>148</v>
      </c>
      <c r="F165" t="s">
        <v>149</v>
      </c>
      <c r="G165" t="s">
        <v>21</v>
      </c>
      <c r="H165" t="s">
        <v>22</v>
      </c>
      <c r="I165" t="s">
        <v>23</v>
      </c>
      <c r="J165">
        <v>14</v>
      </c>
      <c r="K165">
        <v>20000</v>
      </c>
      <c r="L165">
        <v>0</v>
      </c>
      <c r="M165">
        <v>0</v>
      </c>
      <c r="N165" t="s">
        <v>94</v>
      </c>
      <c r="O165" t="s">
        <v>60</v>
      </c>
      <c r="P165" t="s">
        <v>37</v>
      </c>
    </row>
    <row r="166" spans="1:16" x14ac:dyDescent="0.3">
      <c r="A166" t="s">
        <v>370</v>
      </c>
      <c r="B166" s="2">
        <v>45720</v>
      </c>
      <c r="C166" t="s">
        <v>113</v>
      </c>
      <c r="D166" t="s">
        <v>29</v>
      </c>
      <c r="E166" t="s">
        <v>84</v>
      </c>
      <c r="F166" t="s">
        <v>152</v>
      </c>
      <c r="G166" t="s">
        <v>208</v>
      </c>
      <c r="H166" t="s">
        <v>209</v>
      </c>
      <c r="I166" t="s">
        <v>65</v>
      </c>
      <c r="J166">
        <v>10</v>
      </c>
      <c r="K166">
        <v>107000</v>
      </c>
      <c r="L166">
        <v>0.1</v>
      </c>
      <c r="M166">
        <v>0</v>
      </c>
      <c r="N166" t="s">
        <v>35</v>
      </c>
      <c r="O166" t="s">
        <v>95</v>
      </c>
      <c r="P166" t="s">
        <v>141</v>
      </c>
    </row>
    <row r="167" spans="1:16" x14ac:dyDescent="0.3">
      <c r="A167" t="s">
        <v>371</v>
      </c>
      <c r="B167" s="2">
        <v>45833</v>
      </c>
      <c r="C167" t="s">
        <v>190</v>
      </c>
      <c r="D167" t="s">
        <v>191</v>
      </c>
      <c r="E167" t="s">
        <v>42</v>
      </c>
      <c r="F167" t="s">
        <v>41</v>
      </c>
      <c r="G167" t="s">
        <v>64</v>
      </c>
      <c r="H167" t="s">
        <v>32</v>
      </c>
      <c r="I167" t="s">
        <v>65</v>
      </c>
      <c r="J167">
        <v>11</v>
      </c>
      <c r="K167">
        <v>505000</v>
      </c>
      <c r="L167">
        <v>0</v>
      </c>
      <c r="M167" t="s">
        <v>372</v>
      </c>
      <c r="N167" t="s">
        <v>94</v>
      </c>
      <c r="O167" t="s">
        <v>145</v>
      </c>
      <c r="P167" t="s">
        <v>111</v>
      </c>
    </row>
    <row r="168" spans="1:16" x14ac:dyDescent="0.3">
      <c r="A168" t="s">
        <v>373</v>
      </c>
      <c r="B168" s="2">
        <v>45930</v>
      </c>
      <c r="C168" t="s">
        <v>147</v>
      </c>
      <c r="D168" t="s">
        <v>18</v>
      </c>
      <c r="E168" t="s">
        <v>148</v>
      </c>
      <c r="F168" t="s">
        <v>149</v>
      </c>
      <c r="G168" t="s">
        <v>178</v>
      </c>
      <c r="H168" t="s">
        <v>101</v>
      </c>
      <c r="I168" t="s">
        <v>179</v>
      </c>
      <c r="J168">
        <v>14</v>
      </c>
      <c r="K168">
        <v>91000</v>
      </c>
      <c r="L168">
        <v>0</v>
      </c>
      <c r="M168">
        <v>-1274000</v>
      </c>
      <c r="N168" t="s">
        <v>171</v>
      </c>
      <c r="O168" t="s">
        <v>175</v>
      </c>
      <c r="P168" t="s">
        <v>183</v>
      </c>
    </row>
    <row r="169" spans="1:16" x14ac:dyDescent="0.3">
      <c r="A169" t="s">
        <v>374</v>
      </c>
      <c r="B169" s="2">
        <v>45885</v>
      </c>
      <c r="C169" t="s">
        <v>56</v>
      </c>
      <c r="D169" t="s">
        <v>18</v>
      </c>
      <c r="E169" t="s">
        <v>42</v>
      </c>
      <c r="F169" t="s">
        <v>41</v>
      </c>
      <c r="G169" t="s">
        <v>204</v>
      </c>
      <c r="H169" t="s">
        <v>101</v>
      </c>
      <c r="I169" t="s">
        <v>156</v>
      </c>
      <c r="J169">
        <v>8</v>
      </c>
      <c r="K169">
        <v>155000</v>
      </c>
      <c r="L169">
        <v>0</v>
      </c>
      <c r="M169">
        <v>1240000</v>
      </c>
      <c r="N169" t="s">
        <v>35</v>
      </c>
      <c r="O169" t="s">
        <v>145</v>
      </c>
      <c r="P169" t="s">
        <v>111</v>
      </c>
    </row>
    <row r="170" spans="1:16" x14ac:dyDescent="0.3">
      <c r="A170" t="s">
        <v>375</v>
      </c>
      <c r="B170" s="2">
        <v>45878</v>
      </c>
      <c r="C170" t="s">
        <v>39</v>
      </c>
      <c r="D170" t="s">
        <v>40</v>
      </c>
      <c r="E170" t="s">
        <v>42</v>
      </c>
      <c r="F170" t="s">
        <v>42</v>
      </c>
      <c r="G170" t="s">
        <v>125</v>
      </c>
      <c r="H170" t="s">
        <v>32</v>
      </c>
      <c r="I170" t="s">
        <v>52</v>
      </c>
      <c r="J170">
        <v>6</v>
      </c>
      <c r="K170">
        <v>372000</v>
      </c>
      <c r="L170">
        <v>0</v>
      </c>
      <c r="M170">
        <v>-2232000</v>
      </c>
      <c r="N170" t="s">
        <v>94</v>
      </c>
      <c r="O170" t="s">
        <v>60</v>
      </c>
      <c r="P170" t="s">
        <v>183</v>
      </c>
    </row>
    <row r="171" spans="1:16" x14ac:dyDescent="0.3">
      <c r="A171" t="s">
        <v>253</v>
      </c>
      <c r="B171" s="2">
        <v>45752</v>
      </c>
      <c r="C171" t="s">
        <v>214</v>
      </c>
      <c r="D171" t="s">
        <v>102</v>
      </c>
      <c r="E171" t="s">
        <v>162</v>
      </c>
      <c r="F171" t="s">
        <v>20</v>
      </c>
      <c r="G171" t="s">
        <v>208</v>
      </c>
      <c r="H171" t="s">
        <v>209</v>
      </c>
      <c r="I171" t="s">
        <v>65</v>
      </c>
      <c r="J171">
        <v>11</v>
      </c>
      <c r="K171">
        <v>104000</v>
      </c>
      <c r="L171">
        <v>0.05</v>
      </c>
      <c r="M171">
        <v>1086800</v>
      </c>
      <c r="N171" t="s">
        <v>79</v>
      </c>
      <c r="O171" t="s">
        <v>145</v>
      </c>
      <c r="P171" t="s">
        <v>47</v>
      </c>
    </row>
    <row r="172" spans="1:16" x14ac:dyDescent="0.3">
      <c r="A172" t="s">
        <v>376</v>
      </c>
      <c r="B172" s="2">
        <v>45744</v>
      </c>
      <c r="C172" t="s">
        <v>117</v>
      </c>
      <c r="D172" t="s">
        <v>68</v>
      </c>
      <c r="E172" t="s">
        <v>118</v>
      </c>
      <c r="F172" t="s">
        <v>124</v>
      </c>
      <c r="G172" t="s">
        <v>43</v>
      </c>
      <c r="H172" t="s">
        <v>32</v>
      </c>
      <c r="I172" t="s">
        <v>44</v>
      </c>
      <c r="J172">
        <v>15</v>
      </c>
      <c r="K172">
        <v>266000</v>
      </c>
      <c r="L172">
        <v>0</v>
      </c>
      <c r="M172">
        <v>3990000</v>
      </c>
      <c r="N172" t="s">
        <v>53</v>
      </c>
      <c r="O172" t="s">
        <v>60</v>
      </c>
      <c r="P172" t="s">
        <v>111</v>
      </c>
    </row>
    <row r="173" spans="1:16" x14ac:dyDescent="0.3">
      <c r="A173" t="s">
        <v>377</v>
      </c>
      <c r="B173" s="2">
        <v>45959</v>
      </c>
      <c r="C173" t="s">
        <v>49</v>
      </c>
      <c r="D173" t="s">
        <v>50</v>
      </c>
      <c r="E173" t="s">
        <v>19</v>
      </c>
      <c r="F173" t="s">
        <v>133</v>
      </c>
      <c r="G173" t="s">
        <v>64</v>
      </c>
      <c r="H173" t="s">
        <v>32</v>
      </c>
      <c r="I173" t="s">
        <v>65</v>
      </c>
      <c r="J173">
        <v>8</v>
      </c>
      <c r="K173">
        <v>557000</v>
      </c>
      <c r="L173">
        <v>0</v>
      </c>
      <c r="M173">
        <v>4456000</v>
      </c>
      <c r="N173" t="s">
        <v>53</v>
      </c>
      <c r="O173" t="s">
        <v>95</v>
      </c>
      <c r="P173" t="s">
        <v>61</v>
      </c>
    </row>
    <row r="174" spans="1:16" x14ac:dyDescent="0.3">
      <c r="A174" t="s">
        <v>378</v>
      </c>
      <c r="B174" s="2">
        <v>45718</v>
      </c>
      <c r="C174" t="s">
        <v>113</v>
      </c>
      <c r="D174" t="s">
        <v>29</v>
      </c>
      <c r="E174" t="s">
        <v>168</v>
      </c>
      <c r="F174" t="s">
        <v>114</v>
      </c>
      <c r="G174" t="s">
        <v>169</v>
      </c>
      <c r="H174" t="s">
        <v>22</v>
      </c>
      <c r="I174" t="s">
        <v>23</v>
      </c>
      <c r="J174">
        <v>11</v>
      </c>
      <c r="K174">
        <v>40000</v>
      </c>
      <c r="L174">
        <v>0</v>
      </c>
      <c r="M174">
        <v>440000</v>
      </c>
      <c r="N174" t="s">
        <v>35</v>
      </c>
      <c r="O174" t="s">
        <v>60</v>
      </c>
      <c r="P174" t="s">
        <v>61</v>
      </c>
    </row>
    <row r="175" spans="1:16" x14ac:dyDescent="0.3">
      <c r="A175" t="s">
        <v>379</v>
      </c>
      <c r="B175" s="2">
        <v>45981</v>
      </c>
      <c r="C175" t="s">
        <v>130</v>
      </c>
      <c r="D175" t="s">
        <v>131</v>
      </c>
      <c r="E175" t="s">
        <v>19</v>
      </c>
      <c r="F175" t="s">
        <v>73</v>
      </c>
      <c r="G175" t="s">
        <v>57</v>
      </c>
      <c r="H175" t="s">
        <v>32</v>
      </c>
      <c r="I175" t="s">
        <v>58</v>
      </c>
      <c r="J175">
        <v>5</v>
      </c>
      <c r="K175">
        <v>605000</v>
      </c>
      <c r="L175">
        <v>0.05</v>
      </c>
      <c r="M175">
        <v>2873750</v>
      </c>
      <c r="O175" t="s">
        <v>46</v>
      </c>
      <c r="P175" t="s">
        <v>61</v>
      </c>
    </row>
    <row r="176" spans="1:16" x14ac:dyDescent="0.3">
      <c r="A176" t="s">
        <v>380</v>
      </c>
      <c r="B176" s="2">
        <v>45764</v>
      </c>
      <c r="C176" t="s">
        <v>39</v>
      </c>
      <c r="D176" t="s">
        <v>40</v>
      </c>
      <c r="E176" t="s">
        <v>77</v>
      </c>
      <c r="F176" t="s">
        <v>41</v>
      </c>
      <c r="G176" t="s">
        <v>169</v>
      </c>
      <c r="H176" t="s">
        <v>22</v>
      </c>
      <c r="I176" t="s">
        <v>23</v>
      </c>
      <c r="J176">
        <v>5</v>
      </c>
      <c r="K176">
        <v>45000</v>
      </c>
      <c r="L176">
        <v>0.05</v>
      </c>
      <c r="M176">
        <v>213750</v>
      </c>
      <c r="N176" t="s">
        <v>53</v>
      </c>
      <c r="O176" t="s">
        <v>25</v>
      </c>
      <c r="P176" t="s">
        <v>54</v>
      </c>
    </row>
    <row r="177" spans="1:16" x14ac:dyDescent="0.3">
      <c r="A177" t="s">
        <v>381</v>
      </c>
      <c r="B177" s="2">
        <v>45784</v>
      </c>
      <c r="C177" t="s">
        <v>287</v>
      </c>
      <c r="D177" t="s">
        <v>22</v>
      </c>
      <c r="E177" t="s">
        <v>19</v>
      </c>
      <c r="F177" t="s">
        <v>20</v>
      </c>
      <c r="G177" t="s">
        <v>208</v>
      </c>
      <c r="H177" t="s">
        <v>209</v>
      </c>
      <c r="I177" t="s">
        <v>65</v>
      </c>
      <c r="J177">
        <v>4</v>
      </c>
      <c r="K177" t="s">
        <v>382</v>
      </c>
      <c r="L177">
        <v>0</v>
      </c>
      <c r="M177">
        <v>388000</v>
      </c>
      <c r="N177" t="s">
        <v>24</v>
      </c>
      <c r="O177" t="s">
        <v>145</v>
      </c>
      <c r="P177" t="s">
        <v>61</v>
      </c>
    </row>
    <row r="178" spans="1:16" x14ac:dyDescent="0.3">
      <c r="A178" t="s">
        <v>383</v>
      </c>
      <c r="B178" s="2">
        <v>45697</v>
      </c>
      <c r="C178" t="s">
        <v>67</v>
      </c>
      <c r="D178" t="s">
        <v>68</v>
      </c>
      <c r="E178" t="s">
        <v>69</v>
      </c>
      <c r="F178" t="s">
        <v>70</v>
      </c>
      <c r="G178" t="s">
        <v>109</v>
      </c>
      <c r="H178" t="s">
        <v>32</v>
      </c>
      <c r="I178" t="s">
        <v>44</v>
      </c>
      <c r="J178">
        <v>10</v>
      </c>
      <c r="K178">
        <v>165000</v>
      </c>
      <c r="L178">
        <v>0.02</v>
      </c>
      <c r="M178">
        <v>-1617000</v>
      </c>
      <c r="N178" t="s">
        <v>126</v>
      </c>
      <c r="O178" t="s">
        <v>175</v>
      </c>
      <c r="P178" t="s">
        <v>80</v>
      </c>
    </row>
    <row r="179" spans="1:16" x14ac:dyDescent="0.3">
      <c r="A179" t="s">
        <v>384</v>
      </c>
      <c r="B179" s="2">
        <v>45686</v>
      </c>
      <c r="C179" t="s">
        <v>154</v>
      </c>
      <c r="D179" t="s">
        <v>131</v>
      </c>
      <c r="E179" t="s">
        <v>143</v>
      </c>
      <c r="F179" t="s">
        <v>20</v>
      </c>
      <c r="G179" t="s">
        <v>193</v>
      </c>
      <c r="H179" t="s">
        <v>32</v>
      </c>
      <c r="I179" t="s">
        <v>52</v>
      </c>
      <c r="J179">
        <v>9</v>
      </c>
      <c r="K179">
        <v>393000</v>
      </c>
      <c r="L179">
        <v>0</v>
      </c>
      <c r="M179">
        <v>3537000</v>
      </c>
      <c r="N179" t="s">
        <v>94</v>
      </c>
      <c r="O179" t="s">
        <v>25</v>
      </c>
      <c r="P179" t="s">
        <v>61</v>
      </c>
    </row>
    <row r="180" spans="1:16" x14ac:dyDescent="0.3">
      <c r="A180" t="s">
        <v>378</v>
      </c>
      <c r="B180" s="2">
        <v>45718</v>
      </c>
      <c r="C180" t="s">
        <v>113</v>
      </c>
      <c r="D180" t="s">
        <v>29</v>
      </c>
      <c r="E180" t="s">
        <v>168</v>
      </c>
      <c r="F180" t="s">
        <v>114</v>
      </c>
      <c r="G180" t="s">
        <v>169</v>
      </c>
      <c r="H180" t="s">
        <v>22</v>
      </c>
      <c r="I180" t="s">
        <v>23</v>
      </c>
      <c r="J180">
        <v>11</v>
      </c>
      <c r="K180">
        <v>40000</v>
      </c>
      <c r="L180">
        <v>0</v>
      </c>
      <c r="M180">
        <v>440000</v>
      </c>
      <c r="N180" t="s">
        <v>35</v>
      </c>
      <c r="O180" t="s">
        <v>60</v>
      </c>
      <c r="P180" t="s">
        <v>61</v>
      </c>
    </row>
    <row r="181" spans="1:16" x14ac:dyDescent="0.3">
      <c r="A181" t="s">
        <v>385</v>
      </c>
      <c r="B181" s="2">
        <v>45875</v>
      </c>
      <c r="C181" t="s">
        <v>287</v>
      </c>
      <c r="D181" t="s">
        <v>22</v>
      </c>
      <c r="E181" t="s">
        <v>19</v>
      </c>
      <c r="F181" t="s">
        <v>20</v>
      </c>
      <c r="G181" t="s">
        <v>71</v>
      </c>
      <c r="H181" t="s">
        <v>32</v>
      </c>
      <c r="I181" t="s">
        <v>33</v>
      </c>
      <c r="J181">
        <v>7</v>
      </c>
      <c r="K181">
        <v>326000</v>
      </c>
      <c r="L181">
        <v>0.02</v>
      </c>
      <c r="M181">
        <v>-2236360</v>
      </c>
      <c r="N181" t="s">
        <v>94</v>
      </c>
      <c r="O181" t="s">
        <v>46</v>
      </c>
      <c r="P181" t="s">
        <v>150</v>
      </c>
    </row>
    <row r="182" spans="1:16" x14ac:dyDescent="0.3">
      <c r="A182" t="s">
        <v>176</v>
      </c>
      <c r="B182" s="2">
        <v>45971</v>
      </c>
      <c r="C182" t="s">
        <v>117</v>
      </c>
      <c r="D182" t="s">
        <v>68</v>
      </c>
      <c r="E182" t="s">
        <v>177</v>
      </c>
      <c r="F182" t="s">
        <v>119</v>
      </c>
      <c r="G182" t="s">
        <v>178</v>
      </c>
      <c r="H182" t="s">
        <v>101</v>
      </c>
      <c r="I182" t="s">
        <v>179</v>
      </c>
      <c r="J182">
        <v>12</v>
      </c>
      <c r="K182">
        <v>102000</v>
      </c>
      <c r="M182" t="s">
        <v>180</v>
      </c>
      <c r="N182" t="s">
        <v>94</v>
      </c>
      <c r="O182" t="s">
        <v>95</v>
      </c>
      <c r="P182" t="s">
        <v>61</v>
      </c>
    </row>
    <row r="183" spans="1:16" x14ac:dyDescent="0.3">
      <c r="A183" t="s">
        <v>386</v>
      </c>
      <c r="B183" s="2">
        <v>45853</v>
      </c>
      <c r="C183" t="s">
        <v>82</v>
      </c>
      <c r="D183" t="s">
        <v>83</v>
      </c>
      <c r="E183" t="s">
        <v>187</v>
      </c>
      <c r="F183" t="s">
        <v>99</v>
      </c>
      <c r="G183" t="s">
        <v>178</v>
      </c>
      <c r="H183" t="s">
        <v>101</v>
      </c>
      <c r="I183" t="s">
        <v>179</v>
      </c>
      <c r="J183">
        <v>5</v>
      </c>
      <c r="K183">
        <v>85000</v>
      </c>
      <c r="L183">
        <v>0.1</v>
      </c>
      <c r="M183" t="s">
        <v>387</v>
      </c>
      <c r="N183" t="s">
        <v>35</v>
      </c>
      <c r="O183" t="s">
        <v>60</v>
      </c>
      <c r="P183" t="s">
        <v>244</v>
      </c>
    </row>
    <row r="184" spans="1:16" x14ac:dyDescent="0.3">
      <c r="A184" t="s">
        <v>388</v>
      </c>
      <c r="B184" s="2">
        <v>45788</v>
      </c>
      <c r="C184" t="s">
        <v>17</v>
      </c>
      <c r="D184" t="s">
        <v>18</v>
      </c>
      <c r="E184" t="s">
        <v>143</v>
      </c>
      <c r="F184" t="s">
        <v>203</v>
      </c>
      <c r="G184" t="s">
        <v>295</v>
      </c>
      <c r="H184" t="s">
        <v>32</v>
      </c>
      <c r="I184" t="s">
        <v>58</v>
      </c>
      <c r="J184">
        <v>4</v>
      </c>
      <c r="K184">
        <v>399000</v>
      </c>
      <c r="M184">
        <v>1564080</v>
      </c>
      <c r="N184" t="s">
        <v>35</v>
      </c>
      <c r="O184" t="s">
        <v>175</v>
      </c>
      <c r="P184" t="s">
        <v>61</v>
      </c>
    </row>
    <row r="185" spans="1:16" x14ac:dyDescent="0.3">
      <c r="A185" t="s">
        <v>389</v>
      </c>
      <c r="B185" s="2">
        <v>45953</v>
      </c>
      <c r="C185" t="s">
        <v>89</v>
      </c>
      <c r="D185" t="s">
        <v>90</v>
      </c>
      <c r="E185" t="s">
        <v>132</v>
      </c>
      <c r="F185" t="s">
        <v>20</v>
      </c>
      <c r="G185" t="s">
        <v>208</v>
      </c>
      <c r="H185" t="s">
        <v>209</v>
      </c>
      <c r="I185" t="s">
        <v>65</v>
      </c>
      <c r="J185">
        <v>5</v>
      </c>
      <c r="K185">
        <v>97000</v>
      </c>
      <c r="L185">
        <v>0</v>
      </c>
      <c r="M185">
        <v>485000</v>
      </c>
      <c r="N185" t="s">
        <v>324</v>
      </c>
      <c r="O185" t="s">
        <v>145</v>
      </c>
      <c r="P185" t="s">
        <v>87</v>
      </c>
    </row>
    <row r="186" spans="1:16" x14ac:dyDescent="0.3">
      <c r="A186" t="s">
        <v>390</v>
      </c>
      <c r="B186" s="2">
        <v>45784</v>
      </c>
      <c r="C186" t="s">
        <v>56</v>
      </c>
      <c r="D186" t="s">
        <v>18</v>
      </c>
      <c r="E186" t="s">
        <v>42</v>
      </c>
      <c r="F186" t="s">
        <v>42</v>
      </c>
      <c r="G186" t="s">
        <v>64</v>
      </c>
      <c r="H186" t="s">
        <v>32</v>
      </c>
      <c r="I186" t="s">
        <v>65</v>
      </c>
      <c r="J186">
        <v>9</v>
      </c>
      <c r="K186">
        <v>471000</v>
      </c>
      <c r="L186">
        <v>0</v>
      </c>
      <c r="M186" t="s">
        <v>391</v>
      </c>
      <c r="N186" t="s">
        <v>53</v>
      </c>
      <c r="O186" t="s">
        <v>145</v>
      </c>
      <c r="P186" t="s">
        <v>194</v>
      </c>
    </row>
    <row r="187" spans="1:16" x14ac:dyDescent="0.3">
      <c r="A187" t="s">
        <v>339</v>
      </c>
      <c r="B187" s="2">
        <v>45893</v>
      </c>
      <c r="C187" t="s">
        <v>135</v>
      </c>
      <c r="D187" t="s">
        <v>50</v>
      </c>
      <c r="E187" t="s">
        <v>107</v>
      </c>
      <c r="F187" t="s">
        <v>108</v>
      </c>
      <c r="G187" t="s">
        <v>21</v>
      </c>
      <c r="H187" t="s">
        <v>22</v>
      </c>
      <c r="I187" t="s">
        <v>23</v>
      </c>
      <c r="J187">
        <v>7</v>
      </c>
      <c r="K187">
        <v>17000</v>
      </c>
      <c r="L187">
        <v>0.05</v>
      </c>
      <c r="M187">
        <v>113050</v>
      </c>
      <c r="N187" t="s">
        <v>35</v>
      </c>
      <c r="O187" t="s">
        <v>95</v>
      </c>
      <c r="P187" t="s">
        <v>54</v>
      </c>
    </row>
    <row r="188" spans="1:16" x14ac:dyDescent="0.3">
      <c r="A188" t="s">
        <v>392</v>
      </c>
      <c r="B188" s="2">
        <v>45941</v>
      </c>
      <c r="C188" t="s">
        <v>113</v>
      </c>
      <c r="D188" t="s">
        <v>29</v>
      </c>
      <c r="E188" t="s">
        <v>174</v>
      </c>
      <c r="F188" t="s">
        <v>114</v>
      </c>
      <c r="G188" t="s">
        <v>137</v>
      </c>
      <c r="H188" t="s">
        <v>138</v>
      </c>
      <c r="I188" t="s">
        <v>138</v>
      </c>
      <c r="J188">
        <v>15</v>
      </c>
      <c r="K188">
        <v>27000</v>
      </c>
      <c r="L188">
        <v>0.02</v>
      </c>
      <c r="M188">
        <v>396900</v>
      </c>
      <c r="N188" t="s">
        <v>35</v>
      </c>
      <c r="O188" t="s">
        <v>145</v>
      </c>
      <c r="P188" t="s">
        <v>61</v>
      </c>
    </row>
    <row r="189" spans="1:16" x14ac:dyDescent="0.3">
      <c r="A189" t="s">
        <v>393</v>
      </c>
      <c r="B189" s="2">
        <v>45945</v>
      </c>
      <c r="C189" t="s">
        <v>159</v>
      </c>
      <c r="D189" t="s">
        <v>131</v>
      </c>
      <c r="E189" t="s">
        <v>84</v>
      </c>
      <c r="F189" t="s">
        <v>85</v>
      </c>
      <c r="G189" t="s">
        <v>74</v>
      </c>
      <c r="H189" t="s">
        <v>32</v>
      </c>
      <c r="I189" t="s">
        <v>33</v>
      </c>
      <c r="J189">
        <v>13</v>
      </c>
      <c r="K189" t="s">
        <v>394</v>
      </c>
      <c r="L189">
        <v>0.05</v>
      </c>
      <c r="M189">
        <v>1000350</v>
      </c>
      <c r="N189" t="s">
        <v>53</v>
      </c>
      <c r="O189" t="s">
        <v>60</v>
      </c>
      <c r="P189" t="s">
        <v>61</v>
      </c>
    </row>
    <row r="190" spans="1:16" x14ac:dyDescent="0.3">
      <c r="A190" t="s">
        <v>395</v>
      </c>
      <c r="B190" s="2">
        <v>45896</v>
      </c>
      <c r="C190" t="s">
        <v>147</v>
      </c>
      <c r="D190" t="s">
        <v>18</v>
      </c>
      <c r="E190" t="s">
        <v>148</v>
      </c>
      <c r="F190" t="s">
        <v>149</v>
      </c>
      <c r="G190" t="s">
        <v>235</v>
      </c>
      <c r="H190" t="s">
        <v>101</v>
      </c>
      <c r="I190" t="s">
        <v>156</v>
      </c>
      <c r="J190">
        <v>5</v>
      </c>
      <c r="K190" t="s">
        <v>396</v>
      </c>
      <c r="L190">
        <v>0</v>
      </c>
      <c r="M190">
        <v>1030000</v>
      </c>
      <c r="O190" t="s">
        <v>46</v>
      </c>
      <c r="P190" t="s">
        <v>87</v>
      </c>
    </row>
    <row r="191" spans="1:16" x14ac:dyDescent="0.3">
      <c r="A191" t="s">
        <v>397</v>
      </c>
      <c r="B191" s="2">
        <v>45685</v>
      </c>
      <c r="C191" t="s">
        <v>113</v>
      </c>
      <c r="D191" t="s">
        <v>29</v>
      </c>
      <c r="E191" t="s">
        <v>84</v>
      </c>
      <c r="F191" t="s">
        <v>114</v>
      </c>
      <c r="G191" t="s">
        <v>169</v>
      </c>
      <c r="H191" t="s">
        <v>22</v>
      </c>
      <c r="I191" t="s">
        <v>23</v>
      </c>
      <c r="J191">
        <v>15</v>
      </c>
      <c r="K191" t="s">
        <v>398</v>
      </c>
      <c r="L191">
        <v>0</v>
      </c>
      <c r="M191">
        <v>690000</v>
      </c>
      <c r="N191" t="s">
        <v>35</v>
      </c>
      <c r="O191" t="s">
        <v>25</v>
      </c>
      <c r="P191" t="s">
        <v>87</v>
      </c>
    </row>
    <row r="192" spans="1:16" x14ac:dyDescent="0.3">
      <c r="A192" t="s">
        <v>399</v>
      </c>
      <c r="B192" s="2">
        <v>45772</v>
      </c>
      <c r="C192" t="s">
        <v>67</v>
      </c>
      <c r="D192" t="s">
        <v>68</v>
      </c>
      <c r="E192" t="s">
        <v>69</v>
      </c>
      <c r="F192" t="s">
        <v>70</v>
      </c>
      <c r="G192" t="s">
        <v>125</v>
      </c>
      <c r="H192" t="s">
        <v>32</v>
      </c>
      <c r="I192" t="s">
        <v>52</v>
      </c>
      <c r="J192">
        <v>13</v>
      </c>
      <c r="K192">
        <v>365000</v>
      </c>
      <c r="L192">
        <v>0</v>
      </c>
      <c r="M192">
        <v>4745000</v>
      </c>
      <c r="N192" t="s">
        <v>140</v>
      </c>
      <c r="O192" t="s">
        <v>145</v>
      </c>
      <c r="P192" t="s">
        <v>61</v>
      </c>
    </row>
    <row r="193" spans="1:16" x14ac:dyDescent="0.3">
      <c r="A193" t="s">
        <v>400</v>
      </c>
      <c r="B193" s="2">
        <v>45837</v>
      </c>
      <c r="C193" t="s">
        <v>113</v>
      </c>
      <c r="D193" t="s">
        <v>29</v>
      </c>
      <c r="E193" t="s">
        <v>84</v>
      </c>
      <c r="F193" t="s">
        <v>99</v>
      </c>
      <c r="G193" t="s">
        <v>208</v>
      </c>
      <c r="H193" t="s">
        <v>209</v>
      </c>
      <c r="I193" t="s">
        <v>65</v>
      </c>
      <c r="J193">
        <v>11</v>
      </c>
      <c r="K193">
        <v>102000</v>
      </c>
      <c r="L193">
        <v>0.02</v>
      </c>
      <c r="M193">
        <v>1099560</v>
      </c>
      <c r="N193" t="s">
        <v>53</v>
      </c>
      <c r="O193" t="s">
        <v>75</v>
      </c>
      <c r="P193" t="s">
        <v>244</v>
      </c>
    </row>
    <row r="194" spans="1:16" x14ac:dyDescent="0.3">
      <c r="A194" t="s">
        <v>401</v>
      </c>
      <c r="B194" s="2">
        <v>45752</v>
      </c>
      <c r="C194" t="s">
        <v>147</v>
      </c>
      <c r="D194" t="s">
        <v>18</v>
      </c>
      <c r="E194" t="s">
        <v>148</v>
      </c>
      <c r="F194" t="s">
        <v>149</v>
      </c>
      <c r="G194" t="s">
        <v>137</v>
      </c>
      <c r="H194" t="s">
        <v>138</v>
      </c>
      <c r="I194" t="s">
        <v>138</v>
      </c>
      <c r="J194">
        <v>15</v>
      </c>
      <c r="K194">
        <v>28000</v>
      </c>
      <c r="L194">
        <v>0.02</v>
      </c>
      <c r="M194" t="s">
        <v>402</v>
      </c>
      <c r="N194" t="s">
        <v>171</v>
      </c>
      <c r="O194" t="s">
        <v>46</v>
      </c>
      <c r="P194" t="s">
        <v>61</v>
      </c>
    </row>
    <row r="195" spans="1:16" x14ac:dyDescent="0.3">
      <c r="A195" t="s">
        <v>403</v>
      </c>
      <c r="B195" s="2">
        <v>45833</v>
      </c>
      <c r="C195" t="s">
        <v>190</v>
      </c>
      <c r="D195" t="s">
        <v>191</v>
      </c>
      <c r="E195" t="s">
        <v>42</v>
      </c>
      <c r="F195" t="s">
        <v>42</v>
      </c>
      <c r="G195" t="s">
        <v>57</v>
      </c>
      <c r="H195" t="s">
        <v>32</v>
      </c>
      <c r="I195" t="s">
        <v>58</v>
      </c>
      <c r="J195">
        <v>13</v>
      </c>
      <c r="K195">
        <v>628000</v>
      </c>
      <c r="L195">
        <v>0.02</v>
      </c>
      <c r="M195">
        <v>8000720</v>
      </c>
      <c r="N195" t="s">
        <v>53</v>
      </c>
      <c r="O195" t="s">
        <v>60</v>
      </c>
      <c r="P195" t="s">
        <v>47</v>
      </c>
    </row>
    <row r="196" spans="1:16" x14ac:dyDescent="0.3">
      <c r="A196" t="s">
        <v>404</v>
      </c>
      <c r="B196" s="2">
        <v>45681</v>
      </c>
      <c r="C196" t="s">
        <v>135</v>
      </c>
      <c r="D196" t="s">
        <v>50</v>
      </c>
      <c r="E196" t="s">
        <v>107</v>
      </c>
      <c r="F196" t="s">
        <v>108</v>
      </c>
      <c r="G196" t="s">
        <v>109</v>
      </c>
      <c r="H196" t="s">
        <v>32</v>
      </c>
      <c r="I196" t="s">
        <v>44</v>
      </c>
      <c r="J196">
        <v>15</v>
      </c>
      <c r="K196">
        <v>149000</v>
      </c>
      <c r="L196">
        <v>0</v>
      </c>
      <c r="M196">
        <v>2235000</v>
      </c>
      <c r="N196" t="s">
        <v>35</v>
      </c>
      <c r="O196" t="s">
        <v>36</v>
      </c>
      <c r="P196" t="s">
        <v>61</v>
      </c>
    </row>
    <row r="197" spans="1:16" x14ac:dyDescent="0.3">
      <c r="A197" t="s">
        <v>276</v>
      </c>
      <c r="B197" s="2">
        <v>45869</v>
      </c>
      <c r="C197" t="s">
        <v>39</v>
      </c>
      <c r="D197" t="s">
        <v>40</v>
      </c>
      <c r="E197" t="s">
        <v>42</v>
      </c>
      <c r="F197" t="s">
        <v>97</v>
      </c>
      <c r="G197" t="s">
        <v>277</v>
      </c>
      <c r="H197" t="s">
        <v>32</v>
      </c>
      <c r="I197" t="s">
        <v>44</v>
      </c>
      <c r="J197">
        <v>11</v>
      </c>
      <c r="K197" t="s">
        <v>278</v>
      </c>
      <c r="L197">
        <v>0</v>
      </c>
      <c r="M197" t="s">
        <v>279</v>
      </c>
      <c r="N197" t="s">
        <v>53</v>
      </c>
      <c r="O197" t="s">
        <v>95</v>
      </c>
      <c r="P197" t="s">
        <v>54</v>
      </c>
    </row>
    <row r="198" spans="1:16" x14ac:dyDescent="0.3">
      <c r="A198" t="s">
        <v>405</v>
      </c>
      <c r="B198" s="2">
        <v>45944</v>
      </c>
      <c r="C198" t="s">
        <v>17</v>
      </c>
      <c r="D198" t="s">
        <v>18</v>
      </c>
      <c r="E198" t="s">
        <v>132</v>
      </c>
      <c r="F198" t="s">
        <v>20</v>
      </c>
      <c r="G198" t="s">
        <v>178</v>
      </c>
      <c r="H198" t="s">
        <v>101</v>
      </c>
      <c r="I198" t="s">
        <v>179</v>
      </c>
      <c r="J198">
        <v>9</v>
      </c>
      <c r="K198">
        <v>97000</v>
      </c>
      <c r="L198">
        <v>0.02</v>
      </c>
      <c r="M198">
        <v>-855540</v>
      </c>
      <c r="N198" t="s">
        <v>324</v>
      </c>
      <c r="O198" t="s">
        <v>95</v>
      </c>
      <c r="P198" t="s">
        <v>183</v>
      </c>
    </row>
    <row r="199" spans="1:16" x14ac:dyDescent="0.3">
      <c r="A199" t="s">
        <v>406</v>
      </c>
      <c r="B199" s="2">
        <v>46002</v>
      </c>
      <c r="C199" t="s">
        <v>28</v>
      </c>
      <c r="D199" t="s">
        <v>29</v>
      </c>
      <c r="E199" t="s">
        <v>30</v>
      </c>
      <c r="F199" t="s">
        <v>20</v>
      </c>
      <c r="G199" t="s">
        <v>193</v>
      </c>
      <c r="H199" t="s">
        <v>32</v>
      </c>
      <c r="I199" t="s">
        <v>52</v>
      </c>
      <c r="J199">
        <v>3</v>
      </c>
      <c r="K199">
        <v>381000</v>
      </c>
      <c r="L199">
        <v>0</v>
      </c>
      <c r="M199">
        <v>1143000</v>
      </c>
      <c r="N199" t="s">
        <v>86</v>
      </c>
      <c r="O199" t="s">
        <v>25</v>
      </c>
      <c r="P199" t="s">
        <v>194</v>
      </c>
    </row>
    <row r="200" spans="1:16" x14ac:dyDescent="0.3">
      <c r="A200" t="s">
        <v>407</v>
      </c>
      <c r="B200" s="2">
        <v>45712</v>
      </c>
      <c r="C200" t="s">
        <v>113</v>
      </c>
      <c r="D200" t="s">
        <v>29</v>
      </c>
      <c r="E200" t="s">
        <v>84</v>
      </c>
      <c r="F200" t="s">
        <v>114</v>
      </c>
      <c r="G200" t="s">
        <v>74</v>
      </c>
      <c r="H200" t="s">
        <v>32</v>
      </c>
      <c r="I200" t="s">
        <v>33</v>
      </c>
      <c r="J200">
        <v>10</v>
      </c>
      <c r="K200">
        <v>97000</v>
      </c>
      <c r="L200">
        <v>0.05</v>
      </c>
      <c r="M200">
        <v>921500</v>
      </c>
      <c r="N200" t="s">
        <v>171</v>
      </c>
      <c r="O200" t="s">
        <v>60</v>
      </c>
      <c r="P200" t="s">
        <v>61</v>
      </c>
    </row>
    <row r="201" spans="1:16" x14ac:dyDescent="0.3">
      <c r="A201" t="s">
        <v>408</v>
      </c>
      <c r="B201" s="2">
        <v>45794</v>
      </c>
      <c r="C201" t="s">
        <v>106</v>
      </c>
      <c r="D201" t="s">
        <v>50</v>
      </c>
      <c r="E201" t="s">
        <v>107</v>
      </c>
      <c r="F201" t="s">
        <v>108</v>
      </c>
      <c r="G201" t="s">
        <v>409</v>
      </c>
      <c r="H201" t="s">
        <v>22</v>
      </c>
      <c r="I201" t="s">
        <v>23</v>
      </c>
      <c r="J201">
        <v>9</v>
      </c>
      <c r="K201">
        <v>75000</v>
      </c>
      <c r="L201">
        <v>0</v>
      </c>
      <c r="M201">
        <v>-675000</v>
      </c>
      <c r="N201" t="s">
        <v>53</v>
      </c>
      <c r="O201" t="s">
        <v>36</v>
      </c>
      <c r="P201" t="s">
        <v>150</v>
      </c>
    </row>
    <row r="202" spans="1:16" x14ac:dyDescent="0.3">
      <c r="A202" t="s">
        <v>410</v>
      </c>
      <c r="B202" s="2">
        <v>45995</v>
      </c>
      <c r="D202" t="s">
        <v>22</v>
      </c>
      <c r="E202" t="s">
        <v>162</v>
      </c>
      <c r="F202" t="s">
        <v>20</v>
      </c>
      <c r="G202" t="s">
        <v>64</v>
      </c>
      <c r="H202" t="s">
        <v>32</v>
      </c>
      <c r="I202" t="s">
        <v>65</v>
      </c>
      <c r="J202">
        <v>15</v>
      </c>
      <c r="K202">
        <v>574000</v>
      </c>
      <c r="L202">
        <v>0.05</v>
      </c>
      <c r="M202">
        <v>8179500</v>
      </c>
      <c r="N202" t="s">
        <v>53</v>
      </c>
      <c r="O202" t="s">
        <v>46</v>
      </c>
      <c r="P202" t="s">
        <v>61</v>
      </c>
    </row>
    <row r="203" spans="1:16" x14ac:dyDescent="0.3">
      <c r="A203" t="s">
        <v>411</v>
      </c>
      <c r="B203" s="2">
        <v>46001</v>
      </c>
      <c r="C203" t="s">
        <v>130</v>
      </c>
      <c r="D203" t="s">
        <v>131</v>
      </c>
      <c r="E203" t="s">
        <v>162</v>
      </c>
      <c r="F203" t="s">
        <v>20</v>
      </c>
      <c r="G203" t="s">
        <v>109</v>
      </c>
      <c r="H203" t="s">
        <v>32</v>
      </c>
      <c r="I203" t="s">
        <v>44</v>
      </c>
      <c r="J203">
        <v>13</v>
      </c>
      <c r="K203" t="s">
        <v>412</v>
      </c>
      <c r="L203">
        <v>0.1</v>
      </c>
      <c r="M203" t="s">
        <v>413</v>
      </c>
      <c r="O203" t="s">
        <v>36</v>
      </c>
      <c r="P203" t="s">
        <v>87</v>
      </c>
    </row>
    <row r="204" spans="1:16" x14ac:dyDescent="0.3">
      <c r="A204" t="s">
        <v>414</v>
      </c>
      <c r="B204" s="2">
        <v>45820</v>
      </c>
      <c r="C204" t="s">
        <v>56</v>
      </c>
      <c r="D204" t="s">
        <v>18</v>
      </c>
      <c r="E204" t="s">
        <v>77</v>
      </c>
      <c r="F204" t="s">
        <v>77</v>
      </c>
      <c r="G204" t="s">
        <v>341</v>
      </c>
      <c r="H204" t="s">
        <v>101</v>
      </c>
      <c r="I204" t="s">
        <v>102</v>
      </c>
      <c r="J204">
        <v>2</v>
      </c>
      <c r="K204">
        <v>108000</v>
      </c>
      <c r="L204">
        <v>0.05</v>
      </c>
      <c r="M204">
        <v>0</v>
      </c>
      <c r="O204" t="s">
        <v>175</v>
      </c>
      <c r="P204" t="s">
        <v>141</v>
      </c>
    </row>
    <row r="205" spans="1:16" x14ac:dyDescent="0.3">
      <c r="A205" t="s">
        <v>415</v>
      </c>
      <c r="B205" s="2">
        <v>45733</v>
      </c>
      <c r="C205" t="s">
        <v>214</v>
      </c>
      <c r="D205" t="s">
        <v>102</v>
      </c>
      <c r="E205" t="s">
        <v>19</v>
      </c>
      <c r="F205" t="s">
        <v>133</v>
      </c>
      <c r="G205" t="s">
        <v>64</v>
      </c>
      <c r="H205" t="s">
        <v>32</v>
      </c>
      <c r="I205" t="s">
        <v>65</v>
      </c>
      <c r="J205">
        <v>2</v>
      </c>
      <c r="K205" t="s">
        <v>337</v>
      </c>
      <c r="L205">
        <v>0</v>
      </c>
      <c r="M205">
        <v>-1178000</v>
      </c>
      <c r="N205" t="s">
        <v>86</v>
      </c>
      <c r="O205" t="s">
        <v>60</v>
      </c>
      <c r="P205" t="s">
        <v>183</v>
      </c>
    </row>
    <row r="206" spans="1:16" x14ac:dyDescent="0.3">
      <c r="A206" t="s">
        <v>416</v>
      </c>
      <c r="B206" s="2">
        <v>45663</v>
      </c>
      <c r="C206" t="s">
        <v>82</v>
      </c>
      <c r="D206" t="s">
        <v>83</v>
      </c>
      <c r="E206" t="s">
        <v>84</v>
      </c>
      <c r="F206" t="s">
        <v>99</v>
      </c>
      <c r="G206" t="s">
        <v>57</v>
      </c>
      <c r="H206" t="s">
        <v>32</v>
      </c>
      <c r="I206" t="s">
        <v>58</v>
      </c>
      <c r="J206">
        <v>4</v>
      </c>
      <c r="K206" t="s">
        <v>417</v>
      </c>
      <c r="L206">
        <v>0</v>
      </c>
      <c r="M206" t="s">
        <v>418</v>
      </c>
      <c r="N206" t="s">
        <v>53</v>
      </c>
      <c r="O206" t="s">
        <v>60</v>
      </c>
      <c r="P206" t="s">
        <v>61</v>
      </c>
    </row>
    <row r="207" spans="1:16" x14ac:dyDescent="0.3">
      <c r="A207" t="s">
        <v>419</v>
      </c>
      <c r="B207" s="2">
        <v>46007</v>
      </c>
      <c r="C207" t="s">
        <v>214</v>
      </c>
      <c r="D207" t="s">
        <v>102</v>
      </c>
      <c r="E207" t="s">
        <v>162</v>
      </c>
      <c r="F207" t="s">
        <v>73</v>
      </c>
      <c r="G207" t="s">
        <v>204</v>
      </c>
      <c r="H207" t="s">
        <v>101</v>
      </c>
      <c r="I207" t="s">
        <v>156</v>
      </c>
      <c r="J207">
        <v>9</v>
      </c>
      <c r="K207">
        <v>168000</v>
      </c>
      <c r="L207">
        <v>0.02</v>
      </c>
      <c r="M207">
        <v>1481760</v>
      </c>
      <c r="N207" t="s">
        <v>35</v>
      </c>
      <c r="O207" t="s">
        <v>95</v>
      </c>
      <c r="P207" t="s">
        <v>54</v>
      </c>
    </row>
    <row r="208" spans="1:16" x14ac:dyDescent="0.3">
      <c r="A208" t="s">
        <v>420</v>
      </c>
      <c r="B208" s="2">
        <v>45666</v>
      </c>
      <c r="C208" t="s">
        <v>214</v>
      </c>
      <c r="D208" t="s">
        <v>102</v>
      </c>
      <c r="E208" t="s">
        <v>19</v>
      </c>
      <c r="F208" t="s">
        <v>20</v>
      </c>
      <c r="G208" t="s">
        <v>137</v>
      </c>
      <c r="H208" t="s">
        <v>138</v>
      </c>
      <c r="I208" t="s">
        <v>138</v>
      </c>
      <c r="J208">
        <v>8</v>
      </c>
      <c r="K208">
        <v>29000</v>
      </c>
      <c r="L208">
        <v>0.05</v>
      </c>
      <c r="M208">
        <v>220400</v>
      </c>
      <c r="N208" t="s">
        <v>53</v>
      </c>
      <c r="O208" t="s">
        <v>46</v>
      </c>
      <c r="P208" t="s">
        <v>198</v>
      </c>
    </row>
    <row r="209" spans="1:16" x14ac:dyDescent="0.3">
      <c r="A209" t="s">
        <v>421</v>
      </c>
      <c r="B209" s="2">
        <v>45726</v>
      </c>
      <c r="C209" t="s">
        <v>89</v>
      </c>
      <c r="D209" t="s">
        <v>90</v>
      </c>
      <c r="E209" t="s">
        <v>19</v>
      </c>
      <c r="F209" t="s">
        <v>203</v>
      </c>
      <c r="G209" t="s">
        <v>178</v>
      </c>
      <c r="H209" t="s">
        <v>101</v>
      </c>
      <c r="I209" t="s">
        <v>179</v>
      </c>
      <c r="J209">
        <v>12</v>
      </c>
      <c r="K209">
        <v>105000</v>
      </c>
      <c r="L209">
        <v>0</v>
      </c>
      <c r="M209">
        <v>0</v>
      </c>
      <c r="N209" t="s">
        <v>53</v>
      </c>
      <c r="O209" t="s">
        <v>60</v>
      </c>
      <c r="P209" t="s">
        <v>26</v>
      </c>
    </row>
    <row r="210" spans="1:16" x14ac:dyDescent="0.3">
      <c r="A210" t="s">
        <v>422</v>
      </c>
      <c r="B210" s="2">
        <v>45714</v>
      </c>
      <c r="C210" t="s">
        <v>113</v>
      </c>
      <c r="D210" t="s">
        <v>29</v>
      </c>
      <c r="E210" t="s">
        <v>84</v>
      </c>
      <c r="F210" t="s">
        <v>85</v>
      </c>
      <c r="G210" t="s">
        <v>423</v>
      </c>
      <c r="H210" t="s">
        <v>22</v>
      </c>
      <c r="I210" t="s">
        <v>92</v>
      </c>
      <c r="J210">
        <v>5</v>
      </c>
      <c r="K210">
        <v>219000</v>
      </c>
      <c r="L210">
        <v>0.02</v>
      </c>
      <c r="M210">
        <v>0</v>
      </c>
      <c r="N210" t="s">
        <v>35</v>
      </c>
      <c r="O210" t="s">
        <v>145</v>
      </c>
      <c r="P210" t="s">
        <v>26</v>
      </c>
    </row>
    <row r="211" spans="1:16" x14ac:dyDescent="0.3">
      <c r="A211" t="s">
        <v>424</v>
      </c>
      <c r="B211" s="2">
        <v>45952</v>
      </c>
      <c r="C211" t="s">
        <v>89</v>
      </c>
      <c r="D211" t="s">
        <v>90</v>
      </c>
      <c r="E211" t="s">
        <v>162</v>
      </c>
      <c r="F211" t="s">
        <v>20</v>
      </c>
      <c r="G211" t="s">
        <v>169</v>
      </c>
      <c r="H211" t="s">
        <v>22</v>
      </c>
      <c r="I211" t="s">
        <v>23</v>
      </c>
      <c r="J211">
        <v>14</v>
      </c>
      <c r="K211">
        <v>43000</v>
      </c>
      <c r="L211">
        <v>0.05</v>
      </c>
      <c r="M211">
        <v>571900</v>
      </c>
      <c r="N211" t="s">
        <v>53</v>
      </c>
      <c r="O211" t="s">
        <v>25</v>
      </c>
      <c r="P211" t="s">
        <v>61</v>
      </c>
    </row>
    <row r="212" spans="1:16" x14ac:dyDescent="0.3">
      <c r="A212" t="s">
        <v>425</v>
      </c>
      <c r="B212" s="2">
        <v>45969</v>
      </c>
      <c r="C212" t="s">
        <v>287</v>
      </c>
      <c r="D212" t="s">
        <v>22</v>
      </c>
      <c r="E212" t="s">
        <v>143</v>
      </c>
      <c r="F212" t="s">
        <v>20</v>
      </c>
      <c r="G212" t="s">
        <v>272</v>
      </c>
      <c r="H212" t="s">
        <v>101</v>
      </c>
      <c r="I212" t="s">
        <v>102</v>
      </c>
      <c r="J212">
        <v>3</v>
      </c>
      <c r="K212">
        <v>131000</v>
      </c>
      <c r="L212">
        <v>0</v>
      </c>
      <c r="M212">
        <v>393000</v>
      </c>
      <c r="N212" t="s">
        <v>103</v>
      </c>
      <c r="O212" t="s">
        <v>145</v>
      </c>
      <c r="P212" t="s">
        <v>198</v>
      </c>
    </row>
    <row r="213" spans="1:16" x14ac:dyDescent="0.3">
      <c r="A213" t="s">
        <v>426</v>
      </c>
      <c r="B213" s="2">
        <v>45799</v>
      </c>
      <c r="C213" t="s">
        <v>154</v>
      </c>
      <c r="D213" t="s">
        <v>131</v>
      </c>
      <c r="E213" t="s">
        <v>19</v>
      </c>
      <c r="F213" t="s">
        <v>203</v>
      </c>
      <c r="G213" t="s">
        <v>341</v>
      </c>
      <c r="H213" t="s">
        <v>101</v>
      </c>
      <c r="I213" t="s">
        <v>102</v>
      </c>
      <c r="J213">
        <v>2</v>
      </c>
      <c r="K213">
        <v>136000</v>
      </c>
      <c r="L213">
        <v>0.02</v>
      </c>
      <c r="M213">
        <v>266560</v>
      </c>
      <c r="N213" t="s">
        <v>86</v>
      </c>
      <c r="O213" t="s">
        <v>175</v>
      </c>
      <c r="P213" t="s">
        <v>87</v>
      </c>
    </row>
    <row r="214" spans="1:16" x14ac:dyDescent="0.3">
      <c r="A214" t="s">
        <v>427</v>
      </c>
      <c r="B214" s="2">
        <v>45945</v>
      </c>
      <c r="C214" t="s">
        <v>89</v>
      </c>
      <c r="D214" t="s">
        <v>90</v>
      </c>
      <c r="E214" t="s">
        <v>19</v>
      </c>
      <c r="F214" t="s">
        <v>133</v>
      </c>
      <c r="G214" t="s">
        <v>137</v>
      </c>
      <c r="H214" t="s">
        <v>138</v>
      </c>
      <c r="I214" t="s">
        <v>138</v>
      </c>
      <c r="J214">
        <v>5</v>
      </c>
      <c r="K214">
        <v>31000</v>
      </c>
      <c r="L214">
        <v>0.1</v>
      </c>
      <c r="M214">
        <v>139500</v>
      </c>
      <c r="N214" t="s">
        <v>53</v>
      </c>
      <c r="O214" t="s">
        <v>60</v>
      </c>
      <c r="P214" t="s">
        <v>47</v>
      </c>
    </row>
    <row r="215" spans="1:16" x14ac:dyDescent="0.3">
      <c r="A215" t="s">
        <v>428</v>
      </c>
      <c r="B215" s="2">
        <v>45955</v>
      </c>
      <c r="C215" t="s">
        <v>17</v>
      </c>
      <c r="D215" t="s">
        <v>18</v>
      </c>
      <c r="E215" t="s">
        <v>19</v>
      </c>
      <c r="F215" t="s">
        <v>133</v>
      </c>
      <c r="G215" t="s">
        <v>312</v>
      </c>
      <c r="H215" t="s">
        <v>22</v>
      </c>
      <c r="I215" t="s">
        <v>92</v>
      </c>
      <c r="J215">
        <v>3</v>
      </c>
      <c r="K215">
        <v>198000</v>
      </c>
      <c r="L215">
        <v>0.1</v>
      </c>
      <c r="M215">
        <v>534600</v>
      </c>
      <c r="N215" t="s">
        <v>324</v>
      </c>
      <c r="O215" t="s">
        <v>36</v>
      </c>
      <c r="P215" t="s">
        <v>47</v>
      </c>
    </row>
    <row r="216" spans="1:16" x14ac:dyDescent="0.3">
      <c r="A216" t="s">
        <v>429</v>
      </c>
      <c r="B216" s="2">
        <v>45772</v>
      </c>
      <c r="C216" t="s">
        <v>63</v>
      </c>
      <c r="D216" t="s">
        <v>18</v>
      </c>
      <c r="E216" t="s">
        <v>42</v>
      </c>
      <c r="F216" t="s">
        <v>77</v>
      </c>
      <c r="G216" t="s">
        <v>100</v>
      </c>
      <c r="H216" t="s">
        <v>101</v>
      </c>
      <c r="I216" t="s">
        <v>102</v>
      </c>
      <c r="J216">
        <v>8</v>
      </c>
      <c r="K216">
        <v>111000</v>
      </c>
      <c r="L216">
        <v>0</v>
      </c>
      <c r="M216" t="s">
        <v>430</v>
      </c>
      <c r="N216" t="s">
        <v>163</v>
      </c>
      <c r="O216" t="s">
        <v>46</v>
      </c>
      <c r="P216" t="s">
        <v>61</v>
      </c>
    </row>
    <row r="217" spans="1:16" x14ac:dyDescent="0.3">
      <c r="A217" t="s">
        <v>431</v>
      </c>
      <c r="B217" s="2">
        <v>45980</v>
      </c>
      <c r="C217" t="s">
        <v>287</v>
      </c>
      <c r="D217" t="s">
        <v>22</v>
      </c>
      <c r="E217" t="s">
        <v>19</v>
      </c>
      <c r="F217" t="s">
        <v>20</v>
      </c>
      <c r="G217" t="s">
        <v>178</v>
      </c>
      <c r="H217" t="s">
        <v>101</v>
      </c>
      <c r="I217" t="s">
        <v>179</v>
      </c>
      <c r="J217">
        <v>1</v>
      </c>
      <c r="K217">
        <v>108000</v>
      </c>
      <c r="L217">
        <v>0.1</v>
      </c>
      <c r="M217">
        <v>97200</v>
      </c>
      <c r="N217" t="s">
        <v>35</v>
      </c>
      <c r="O217" t="s">
        <v>175</v>
      </c>
      <c r="P217" t="s">
        <v>47</v>
      </c>
    </row>
    <row r="218" spans="1:16" x14ac:dyDescent="0.3">
      <c r="A218" t="s">
        <v>429</v>
      </c>
      <c r="B218" s="2">
        <v>45772</v>
      </c>
      <c r="C218" t="s">
        <v>63</v>
      </c>
      <c r="D218" t="s">
        <v>18</v>
      </c>
      <c r="E218" t="s">
        <v>42</v>
      </c>
      <c r="F218" t="s">
        <v>77</v>
      </c>
      <c r="G218" t="s">
        <v>100</v>
      </c>
      <c r="H218" t="s">
        <v>101</v>
      </c>
      <c r="I218" t="s">
        <v>102</v>
      </c>
      <c r="J218">
        <v>8</v>
      </c>
      <c r="K218">
        <v>111000</v>
      </c>
      <c r="L218">
        <v>0</v>
      </c>
      <c r="M218" t="s">
        <v>430</v>
      </c>
      <c r="N218" t="s">
        <v>163</v>
      </c>
      <c r="O218" t="s">
        <v>46</v>
      </c>
      <c r="P218" t="s">
        <v>61</v>
      </c>
    </row>
    <row r="219" spans="1:16" x14ac:dyDescent="0.3">
      <c r="A219" t="s">
        <v>432</v>
      </c>
      <c r="B219" s="2">
        <v>45935</v>
      </c>
      <c r="C219" t="s">
        <v>63</v>
      </c>
      <c r="D219" t="s">
        <v>18</v>
      </c>
      <c r="E219" t="s">
        <v>42</v>
      </c>
      <c r="F219" t="s">
        <v>42</v>
      </c>
      <c r="G219" t="s">
        <v>64</v>
      </c>
      <c r="H219" t="s">
        <v>32</v>
      </c>
      <c r="I219" t="s">
        <v>65</v>
      </c>
      <c r="J219">
        <v>8</v>
      </c>
      <c r="K219" t="s">
        <v>433</v>
      </c>
      <c r="L219">
        <v>0.02</v>
      </c>
      <c r="M219">
        <v>-4672640</v>
      </c>
      <c r="N219" t="s">
        <v>94</v>
      </c>
      <c r="O219" t="s">
        <v>46</v>
      </c>
      <c r="P219" t="s">
        <v>183</v>
      </c>
    </row>
    <row r="220" spans="1:16" x14ac:dyDescent="0.3">
      <c r="A220" t="s">
        <v>434</v>
      </c>
      <c r="B220" s="2">
        <v>45955</v>
      </c>
      <c r="C220" t="s">
        <v>17</v>
      </c>
      <c r="D220" t="s">
        <v>18</v>
      </c>
      <c r="E220" t="s">
        <v>132</v>
      </c>
      <c r="F220" t="s">
        <v>133</v>
      </c>
      <c r="G220" t="s">
        <v>355</v>
      </c>
      <c r="H220" t="s">
        <v>22</v>
      </c>
      <c r="I220" t="s">
        <v>23</v>
      </c>
      <c r="J220">
        <v>8</v>
      </c>
      <c r="K220">
        <v>84000</v>
      </c>
      <c r="L220">
        <v>0.1</v>
      </c>
      <c r="M220">
        <v>-604800</v>
      </c>
      <c r="N220" t="s">
        <v>94</v>
      </c>
      <c r="O220" t="s">
        <v>175</v>
      </c>
      <c r="P220" t="s">
        <v>150</v>
      </c>
    </row>
    <row r="221" spans="1:16" x14ac:dyDescent="0.3">
      <c r="A221" t="s">
        <v>435</v>
      </c>
      <c r="B221" s="2">
        <v>46019</v>
      </c>
      <c r="C221" t="s">
        <v>67</v>
      </c>
      <c r="D221" t="s">
        <v>68</v>
      </c>
      <c r="E221" t="s">
        <v>69</v>
      </c>
      <c r="F221" t="s">
        <v>70</v>
      </c>
      <c r="G221" t="s">
        <v>301</v>
      </c>
      <c r="H221" t="s">
        <v>32</v>
      </c>
      <c r="I221" t="s">
        <v>33</v>
      </c>
      <c r="J221">
        <v>11</v>
      </c>
      <c r="K221">
        <v>77000</v>
      </c>
      <c r="L221">
        <v>0</v>
      </c>
      <c r="M221">
        <v>847000</v>
      </c>
      <c r="N221" t="s">
        <v>35</v>
      </c>
      <c r="O221" t="s">
        <v>95</v>
      </c>
      <c r="P221" t="s">
        <v>54</v>
      </c>
    </row>
    <row r="222" spans="1:16" x14ac:dyDescent="0.3">
      <c r="A222" t="s">
        <v>436</v>
      </c>
      <c r="B222" s="2">
        <v>45980</v>
      </c>
      <c r="C222" t="s">
        <v>28</v>
      </c>
      <c r="D222" t="s">
        <v>29</v>
      </c>
      <c r="E222" t="s">
        <v>30</v>
      </c>
      <c r="F222" t="s">
        <v>20</v>
      </c>
      <c r="G222" t="s">
        <v>125</v>
      </c>
      <c r="H222" t="s">
        <v>32</v>
      </c>
      <c r="I222" t="s">
        <v>52</v>
      </c>
      <c r="J222">
        <v>8</v>
      </c>
      <c r="K222">
        <v>381000</v>
      </c>
      <c r="L222">
        <v>0</v>
      </c>
      <c r="M222">
        <v>-3048000</v>
      </c>
      <c r="N222" t="s">
        <v>53</v>
      </c>
      <c r="O222" t="s">
        <v>36</v>
      </c>
      <c r="P222" t="s">
        <v>164</v>
      </c>
    </row>
    <row r="223" spans="1:16" x14ac:dyDescent="0.3">
      <c r="A223" t="s">
        <v>437</v>
      </c>
      <c r="B223" s="2">
        <v>45818</v>
      </c>
      <c r="C223" t="s">
        <v>89</v>
      </c>
      <c r="D223" t="s">
        <v>90</v>
      </c>
      <c r="E223" t="s">
        <v>19</v>
      </c>
      <c r="F223" t="s">
        <v>20</v>
      </c>
      <c r="G223" t="s">
        <v>204</v>
      </c>
      <c r="H223" t="s">
        <v>101</v>
      </c>
      <c r="I223" t="s">
        <v>156</v>
      </c>
      <c r="J223">
        <v>9</v>
      </c>
      <c r="K223">
        <v>149000</v>
      </c>
      <c r="L223">
        <v>0.05</v>
      </c>
      <c r="M223">
        <v>1273950</v>
      </c>
      <c r="N223" t="s">
        <v>324</v>
      </c>
      <c r="O223" t="s">
        <v>46</v>
      </c>
      <c r="P223" t="s">
        <v>194</v>
      </c>
    </row>
    <row r="224" spans="1:16" x14ac:dyDescent="0.3">
      <c r="A224" t="s">
        <v>438</v>
      </c>
      <c r="B224" s="2">
        <v>45988</v>
      </c>
      <c r="C224" t="s">
        <v>190</v>
      </c>
      <c r="D224" t="s">
        <v>191</v>
      </c>
      <c r="E224" t="s">
        <v>42</v>
      </c>
      <c r="F224" t="s">
        <v>97</v>
      </c>
      <c r="G224" t="s">
        <v>295</v>
      </c>
      <c r="H224" t="s">
        <v>32</v>
      </c>
      <c r="I224" t="s">
        <v>58</v>
      </c>
      <c r="J224">
        <v>1</v>
      </c>
      <c r="K224">
        <v>397000</v>
      </c>
      <c r="L224">
        <v>0.02</v>
      </c>
      <c r="M224">
        <v>389060</v>
      </c>
      <c r="N224" t="s">
        <v>35</v>
      </c>
      <c r="P224" t="s">
        <v>61</v>
      </c>
    </row>
    <row r="225" spans="1:16" x14ac:dyDescent="0.3">
      <c r="A225" t="s">
        <v>439</v>
      </c>
      <c r="B225" s="2">
        <v>45925</v>
      </c>
      <c r="C225" t="s">
        <v>89</v>
      </c>
      <c r="D225" t="s">
        <v>90</v>
      </c>
      <c r="E225" t="s">
        <v>132</v>
      </c>
      <c r="F225" t="s">
        <v>73</v>
      </c>
      <c r="G225" t="s">
        <v>178</v>
      </c>
      <c r="H225" t="s">
        <v>101</v>
      </c>
      <c r="I225" t="s">
        <v>179</v>
      </c>
      <c r="J225">
        <v>2</v>
      </c>
      <c r="K225" t="s">
        <v>440</v>
      </c>
      <c r="L225">
        <v>0.02</v>
      </c>
      <c r="M225">
        <v>211680</v>
      </c>
      <c r="N225" t="s">
        <v>94</v>
      </c>
      <c r="P225" t="s">
        <v>244</v>
      </c>
    </row>
    <row r="226" spans="1:16" x14ac:dyDescent="0.3">
      <c r="A226" t="s">
        <v>441</v>
      </c>
      <c r="B226" s="2">
        <v>45981</v>
      </c>
      <c r="C226" t="s">
        <v>117</v>
      </c>
      <c r="D226" t="s">
        <v>68</v>
      </c>
      <c r="E226" t="s">
        <v>123</v>
      </c>
      <c r="F226" t="s">
        <v>119</v>
      </c>
      <c r="G226" t="s">
        <v>208</v>
      </c>
      <c r="H226" t="s">
        <v>209</v>
      </c>
      <c r="I226" t="s">
        <v>65</v>
      </c>
      <c r="J226">
        <v>10</v>
      </c>
      <c r="K226">
        <v>88000</v>
      </c>
      <c r="L226">
        <v>0</v>
      </c>
      <c r="M226">
        <v>880000</v>
      </c>
      <c r="N226" t="s">
        <v>140</v>
      </c>
      <c r="O226" t="s">
        <v>25</v>
      </c>
      <c r="P226" t="s">
        <v>198</v>
      </c>
    </row>
    <row r="227" spans="1:16" x14ac:dyDescent="0.3">
      <c r="A227" t="s">
        <v>442</v>
      </c>
      <c r="B227" s="2">
        <v>45706</v>
      </c>
      <c r="C227" t="s">
        <v>135</v>
      </c>
      <c r="D227" t="s">
        <v>50</v>
      </c>
      <c r="E227" t="s">
        <v>107</v>
      </c>
      <c r="F227" t="s">
        <v>108</v>
      </c>
      <c r="G227" t="s">
        <v>43</v>
      </c>
      <c r="H227" t="s">
        <v>32</v>
      </c>
      <c r="I227" t="s">
        <v>44</v>
      </c>
      <c r="J227">
        <v>12</v>
      </c>
      <c r="K227">
        <v>251000</v>
      </c>
      <c r="L227">
        <v>0.05</v>
      </c>
      <c r="M227">
        <v>2861400</v>
      </c>
      <c r="N227" t="s">
        <v>35</v>
      </c>
      <c r="O227" t="s">
        <v>46</v>
      </c>
      <c r="P227" t="s">
        <v>61</v>
      </c>
    </row>
    <row r="228" spans="1:16" x14ac:dyDescent="0.3">
      <c r="A228" t="s">
        <v>443</v>
      </c>
      <c r="B228" s="2">
        <v>45946</v>
      </c>
      <c r="D228" t="s">
        <v>90</v>
      </c>
      <c r="E228" t="s">
        <v>19</v>
      </c>
      <c r="F228" t="s">
        <v>20</v>
      </c>
      <c r="G228" t="s">
        <v>144</v>
      </c>
      <c r="H228" t="s">
        <v>32</v>
      </c>
      <c r="I228" t="s">
        <v>44</v>
      </c>
      <c r="K228">
        <v>212000</v>
      </c>
      <c r="L228">
        <v>0</v>
      </c>
      <c r="M228">
        <v>-2968000</v>
      </c>
      <c r="N228" t="s">
        <v>86</v>
      </c>
      <c r="O228" t="s">
        <v>95</v>
      </c>
      <c r="P228" t="s">
        <v>183</v>
      </c>
    </row>
    <row r="229" spans="1:16" x14ac:dyDescent="0.3">
      <c r="A229" t="s">
        <v>444</v>
      </c>
      <c r="B229" s="2">
        <v>45997</v>
      </c>
      <c r="C229" t="s">
        <v>287</v>
      </c>
      <c r="D229" t="s">
        <v>22</v>
      </c>
      <c r="E229" t="s">
        <v>19</v>
      </c>
      <c r="F229" t="s">
        <v>133</v>
      </c>
      <c r="G229" t="s">
        <v>178</v>
      </c>
      <c r="H229" t="s">
        <v>101</v>
      </c>
      <c r="I229" t="s">
        <v>179</v>
      </c>
      <c r="J229">
        <v>3</v>
      </c>
      <c r="K229">
        <v>91000</v>
      </c>
      <c r="L229">
        <v>0.02</v>
      </c>
      <c r="M229">
        <v>0</v>
      </c>
      <c r="N229" t="s">
        <v>79</v>
      </c>
      <c r="O229" t="s">
        <v>36</v>
      </c>
      <c r="P229" t="s">
        <v>141</v>
      </c>
    </row>
    <row r="230" spans="1:16" x14ac:dyDescent="0.3">
      <c r="A230" t="s">
        <v>445</v>
      </c>
      <c r="B230" s="2">
        <v>45749</v>
      </c>
      <c r="C230" t="s">
        <v>82</v>
      </c>
      <c r="D230" t="s">
        <v>83</v>
      </c>
      <c r="E230" t="s">
        <v>187</v>
      </c>
      <c r="F230" t="s">
        <v>85</v>
      </c>
      <c r="G230" t="s">
        <v>64</v>
      </c>
      <c r="H230" t="s">
        <v>32</v>
      </c>
      <c r="I230" t="s">
        <v>65</v>
      </c>
      <c r="J230">
        <v>10</v>
      </c>
      <c r="K230">
        <v>509000</v>
      </c>
      <c r="L230">
        <v>0</v>
      </c>
      <c r="M230">
        <v>5090000</v>
      </c>
      <c r="N230" t="s">
        <v>35</v>
      </c>
      <c r="O230" t="s">
        <v>36</v>
      </c>
      <c r="P230" t="s">
        <v>121</v>
      </c>
    </row>
    <row r="231" spans="1:16" x14ac:dyDescent="0.3">
      <c r="A231" t="s">
        <v>446</v>
      </c>
      <c r="B231" s="2">
        <v>45880</v>
      </c>
      <c r="C231" t="s">
        <v>82</v>
      </c>
      <c r="D231" t="s">
        <v>83</v>
      </c>
      <c r="E231" t="s">
        <v>84</v>
      </c>
      <c r="F231" t="s">
        <v>114</v>
      </c>
      <c r="G231" t="s">
        <v>144</v>
      </c>
      <c r="H231" t="s">
        <v>32</v>
      </c>
      <c r="I231" t="s">
        <v>44</v>
      </c>
      <c r="J231">
        <v>10</v>
      </c>
      <c r="K231">
        <v>214000</v>
      </c>
      <c r="L231">
        <v>0.02</v>
      </c>
      <c r="M231">
        <v>-2097200</v>
      </c>
      <c r="N231" t="s">
        <v>86</v>
      </c>
      <c r="O231" t="s">
        <v>175</v>
      </c>
      <c r="P231" t="s">
        <v>183</v>
      </c>
    </row>
    <row r="232" spans="1:16" x14ac:dyDescent="0.3">
      <c r="A232" t="s">
        <v>447</v>
      </c>
      <c r="B232" s="2">
        <v>45749</v>
      </c>
      <c r="C232" t="s">
        <v>147</v>
      </c>
      <c r="D232" t="s">
        <v>18</v>
      </c>
      <c r="E232" t="s">
        <v>148</v>
      </c>
      <c r="F232" t="s">
        <v>149</v>
      </c>
      <c r="G232" t="s">
        <v>57</v>
      </c>
      <c r="H232" t="s">
        <v>32</v>
      </c>
      <c r="I232" t="s">
        <v>58</v>
      </c>
      <c r="J232">
        <v>3</v>
      </c>
      <c r="K232">
        <v>715000</v>
      </c>
      <c r="L232">
        <v>0.05</v>
      </c>
      <c r="M232">
        <v>0</v>
      </c>
      <c r="N232" t="s">
        <v>324</v>
      </c>
      <c r="O232" t="s">
        <v>60</v>
      </c>
      <c r="P232" t="s">
        <v>26</v>
      </c>
    </row>
    <row r="233" spans="1:16" x14ac:dyDescent="0.3">
      <c r="A233" t="s">
        <v>448</v>
      </c>
      <c r="B233" s="2">
        <v>45874</v>
      </c>
      <c r="C233" t="s">
        <v>113</v>
      </c>
      <c r="D233" t="s">
        <v>29</v>
      </c>
      <c r="E233" t="s">
        <v>84</v>
      </c>
      <c r="F233" t="s">
        <v>85</v>
      </c>
      <c r="G233" t="s">
        <v>178</v>
      </c>
      <c r="H233" t="s">
        <v>101</v>
      </c>
      <c r="I233" t="s">
        <v>179</v>
      </c>
      <c r="J233">
        <v>13</v>
      </c>
      <c r="K233">
        <v>102000</v>
      </c>
      <c r="L233">
        <v>0.1</v>
      </c>
      <c r="M233">
        <v>1193400</v>
      </c>
      <c r="N233" t="s">
        <v>79</v>
      </c>
      <c r="O233" t="s">
        <v>36</v>
      </c>
      <c r="P233" t="s">
        <v>111</v>
      </c>
    </row>
    <row r="234" spans="1:16" x14ac:dyDescent="0.3">
      <c r="A234" t="s">
        <v>449</v>
      </c>
      <c r="B234" s="2">
        <v>45761</v>
      </c>
      <c r="C234" t="s">
        <v>63</v>
      </c>
      <c r="D234" t="s">
        <v>18</v>
      </c>
      <c r="E234" t="s">
        <v>42</v>
      </c>
      <c r="F234" t="s">
        <v>42</v>
      </c>
      <c r="G234" t="s">
        <v>450</v>
      </c>
      <c r="H234" t="s">
        <v>32</v>
      </c>
      <c r="I234" t="s">
        <v>58</v>
      </c>
      <c r="J234">
        <v>1</v>
      </c>
      <c r="K234">
        <v>401000</v>
      </c>
      <c r="L234">
        <v>0</v>
      </c>
      <c r="M234">
        <v>401000</v>
      </c>
      <c r="N234" t="s">
        <v>86</v>
      </c>
      <c r="O234" t="s">
        <v>25</v>
      </c>
      <c r="P234" t="s">
        <v>198</v>
      </c>
    </row>
    <row r="235" spans="1:16" x14ac:dyDescent="0.3">
      <c r="A235" t="s">
        <v>451</v>
      </c>
      <c r="B235" s="2">
        <v>45741</v>
      </c>
      <c r="C235" t="s">
        <v>287</v>
      </c>
      <c r="D235" t="s">
        <v>22</v>
      </c>
      <c r="E235" t="s">
        <v>19</v>
      </c>
      <c r="F235" t="s">
        <v>203</v>
      </c>
      <c r="G235" t="s">
        <v>235</v>
      </c>
      <c r="H235" t="s">
        <v>101</v>
      </c>
      <c r="I235" t="s">
        <v>156</v>
      </c>
      <c r="J235">
        <v>5</v>
      </c>
      <c r="K235">
        <v>206000</v>
      </c>
      <c r="L235">
        <v>0</v>
      </c>
      <c r="M235">
        <v>-1030000</v>
      </c>
      <c r="N235" t="s">
        <v>53</v>
      </c>
      <c r="O235" t="s">
        <v>25</v>
      </c>
      <c r="P235" t="s">
        <v>164</v>
      </c>
    </row>
    <row r="236" spans="1:16" x14ac:dyDescent="0.3">
      <c r="A236" t="s">
        <v>335</v>
      </c>
      <c r="B236" s="2">
        <v>45705</v>
      </c>
      <c r="C236" t="s">
        <v>39</v>
      </c>
      <c r="D236" t="s">
        <v>40</v>
      </c>
      <c r="E236" t="s">
        <v>42</v>
      </c>
      <c r="F236" t="s">
        <v>42</v>
      </c>
      <c r="G236" t="s">
        <v>193</v>
      </c>
      <c r="H236" t="s">
        <v>32</v>
      </c>
      <c r="I236" t="s">
        <v>52</v>
      </c>
      <c r="J236">
        <v>6</v>
      </c>
      <c r="K236">
        <v>359000</v>
      </c>
      <c r="L236">
        <v>0</v>
      </c>
      <c r="M236">
        <v>2154000</v>
      </c>
      <c r="N236" t="s">
        <v>86</v>
      </c>
      <c r="O236" t="s">
        <v>25</v>
      </c>
      <c r="P236" t="s">
        <v>198</v>
      </c>
    </row>
    <row r="237" spans="1:16" x14ac:dyDescent="0.3">
      <c r="A237" t="s">
        <v>452</v>
      </c>
      <c r="B237" s="2">
        <v>45917</v>
      </c>
      <c r="C237" t="s">
        <v>214</v>
      </c>
      <c r="D237" t="s">
        <v>102</v>
      </c>
      <c r="E237" t="s">
        <v>143</v>
      </c>
      <c r="F237" t="s">
        <v>20</v>
      </c>
      <c r="G237" t="s">
        <v>277</v>
      </c>
      <c r="H237" t="s">
        <v>32</v>
      </c>
      <c r="I237" t="s">
        <v>44</v>
      </c>
      <c r="J237">
        <v>14</v>
      </c>
      <c r="K237">
        <v>226000</v>
      </c>
      <c r="L237">
        <v>0</v>
      </c>
      <c r="M237">
        <v>3164000</v>
      </c>
      <c r="N237" t="s">
        <v>86</v>
      </c>
      <c r="O237" t="s">
        <v>25</v>
      </c>
      <c r="P237" t="s">
        <v>194</v>
      </c>
    </row>
    <row r="238" spans="1:16" x14ac:dyDescent="0.3">
      <c r="A238" t="s">
        <v>453</v>
      </c>
      <c r="B238" s="2">
        <v>46019</v>
      </c>
      <c r="C238" t="s">
        <v>130</v>
      </c>
      <c r="D238" t="s">
        <v>131</v>
      </c>
      <c r="E238" t="s">
        <v>19</v>
      </c>
      <c r="F238" t="s">
        <v>20</v>
      </c>
      <c r="G238" t="s">
        <v>178</v>
      </c>
      <c r="H238" t="s">
        <v>101</v>
      </c>
      <c r="I238" t="s">
        <v>179</v>
      </c>
      <c r="J238">
        <v>12</v>
      </c>
      <c r="K238">
        <v>85000</v>
      </c>
      <c r="L238">
        <v>0</v>
      </c>
      <c r="M238">
        <v>1020000</v>
      </c>
      <c r="N238" t="s">
        <v>94</v>
      </c>
      <c r="O238" t="s">
        <v>36</v>
      </c>
      <c r="P238" t="s">
        <v>87</v>
      </c>
    </row>
    <row r="239" spans="1:16" x14ac:dyDescent="0.3">
      <c r="A239" t="s">
        <v>454</v>
      </c>
      <c r="B239" s="2">
        <v>45799</v>
      </c>
      <c r="C239" t="s">
        <v>56</v>
      </c>
      <c r="D239" t="s">
        <v>18</v>
      </c>
      <c r="E239" t="s">
        <v>42</v>
      </c>
      <c r="F239" t="s">
        <v>42</v>
      </c>
      <c r="G239" t="s">
        <v>204</v>
      </c>
      <c r="H239" t="s">
        <v>101</v>
      </c>
      <c r="I239" t="s">
        <v>156</v>
      </c>
      <c r="J239">
        <v>1</v>
      </c>
      <c r="K239">
        <v>163000</v>
      </c>
      <c r="L239">
        <v>0.05</v>
      </c>
      <c r="M239">
        <v>154850</v>
      </c>
      <c r="N239" t="s">
        <v>94</v>
      </c>
      <c r="O239" t="s">
        <v>46</v>
      </c>
      <c r="P239" t="s">
        <v>61</v>
      </c>
    </row>
    <row r="240" spans="1:16" x14ac:dyDescent="0.3">
      <c r="A240" t="s">
        <v>455</v>
      </c>
      <c r="B240" s="2">
        <v>45944</v>
      </c>
      <c r="C240" t="s">
        <v>49</v>
      </c>
      <c r="D240" t="s">
        <v>50</v>
      </c>
      <c r="E240" t="s">
        <v>162</v>
      </c>
      <c r="F240" t="s">
        <v>20</v>
      </c>
      <c r="G240" t="s">
        <v>341</v>
      </c>
      <c r="H240" t="s">
        <v>101</v>
      </c>
      <c r="I240" t="s">
        <v>102</v>
      </c>
      <c r="J240">
        <v>4</v>
      </c>
      <c r="K240">
        <v>130000</v>
      </c>
      <c r="L240">
        <v>0</v>
      </c>
      <c r="M240">
        <v>520000</v>
      </c>
      <c r="N240" t="s">
        <v>94</v>
      </c>
      <c r="O240" t="s">
        <v>25</v>
      </c>
      <c r="P240" t="s">
        <v>54</v>
      </c>
    </row>
    <row r="241" spans="1:16" x14ac:dyDescent="0.3">
      <c r="A241" t="s">
        <v>456</v>
      </c>
      <c r="B241" s="2">
        <v>45934</v>
      </c>
      <c r="C241" t="s">
        <v>135</v>
      </c>
      <c r="D241" t="s">
        <v>50</v>
      </c>
      <c r="E241" t="s">
        <v>107</v>
      </c>
      <c r="F241" t="s">
        <v>108</v>
      </c>
      <c r="G241" t="s">
        <v>21</v>
      </c>
      <c r="H241" t="s">
        <v>22</v>
      </c>
      <c r="I241" t="s">
        <v>23</v>
      </c>
      <c r="J241">
        <v>1</v>
      </c>
      <c r="K241">
        <v>21000</v>
      </c>
      <c r="L241">
        <v>0.1</v>
      </c>
      <c r="M241" t="s">
        <v>457</v>
      </c>
      <c r="N241" t="s">
        <v>171</v>
      </c>
      <c r="O241" t="s">
        <v>145</v>
      </c>
      <c r="P241" t="s">
        <v>183</v>
      </c>
    </row>
    <row r="242" spans="1:16" x14ac:dyDescent="0.3">
      <c r="A242" t="s">
        <v>458</v>
      </c>
      <c r="B242" s="2">
        <v>45872</v>
      </c>
      <c r="C242" t="s">
        <v>130</v>
      </c>
      <c r="D242" t="s">
        <v>131</v>
      </c>
      <c r="E242" t="s">
        <v>19</v>
      </c>
      <c r="F242" t="s">
        <v>20</v>
      </c>
      <c r="G242" t="s">
        <v>204</v>
      </c>
      <c r="H242" t="s">
        <v>101</v>
      </c>
      <c r="I242" t="s">
        <v>156</v>
      </c>
      <c r="J242">
        <v>10</v>
      </c>
      <c r="K242">
        <v>142000</v>
      </c>
      <c r="L242">
        <v>0.05</v>
      </c>
      <c r="M242" t="s">
        <v>459</v>
      </c>
      <c r="N242" t="s">
        <v>171</v>
      </c>
      <c r="O242" t="s">
        <v>145</v>
      </c>
      <c r="P242" t="s">
        <v>47</v>
      </c>
    </row>
    <row r="243" spans="1:16" x14ac:dyDescent="0.3">
      <c r="A243" t="s">
        <v>460</v>
      </c>
      <c r="B243" s="2">
        <v>45810</v>
      </c>
      <c r="C243" t="s">
        <v>28</v>
      </c>
      <c r="D243" t="s">
        <v>29</v>
      </c>
      <c r="E243" t="s">
        <v>30</v>
      </c>
      <c r="F243" t="s">
        <v>203</v>
      </c>
      <c r="G243" t="s">
        <v>64</v>
      </c>
      <c r="H243" t="s">
        <v>32</v>
      </c>
      <c r="I243" t="s">
        <v>65</v>
      </c>
      <c r="J243">
        <v>12</v>
      </c>
      <c r="K243">
        <v>566000</v>
      </c>
      <c r="L243">
        <v>0</v>
      </c>
      <c r="M243" t="s">
        <v>461</v>
      </c>
      <c r="N243" t="s">
        <v>53</v>
      </c>
      <c r="O243" t="s">
        <v>25</v>
      </c>
      <c r="P243" t="s">
        <v>61</v>
      </c>
    </row>
    <row r="244" spans="1:16" x14ac:dyDescent="0.3">
      <c r="A244" t="s">
        <v>286</v>
      </c>
      <c r="B244" s="2">
        <v>46015</v>
      </c>
      <c r="C244" t="s">
        <v>287</v>
      </c>
      <c r="D244" t="s">
        <v>22</v>
      </c>
      <c r="E244" t="s">
        <v>19</v>
      </c>
      <c r="F244" t="s">
        <v>203</v>
      </c>
      <c r="G244" t="s">
        <v>137</v>
      </c>
      <c r="H244" t="s">
        <v>138</v>
      </c>
      <c r="I244" t="s">
        <v>138</v>
      </c>
      <c r="J244">
        <v>11</v>
      </c>
      <c r="K244">
        <v>31000</v>
      </c>
      <c r="L244">
        <v>0.05</v>
      </c>
      <c r="M244">
        <v>0</v>
      </c>
      <c r="N244" t="s">
        <v>86</v>
      </c>
      <c r="O244" t="s">
        <v>25</v>
      </c>
      <c r="P244" t="s">
        <v>37</v>
      </c>
    </row>
    <row r="245" spans="1:16" x14ac:dyDescent="0.3">
      <c r="A245" t="s">
        <v>462</v>
      </c>
      <c r="B245" s="2">
        <v>45969</v>
      </c>
      <c r="C245" t="s">
        <v>63</v>
      </c>
      <c r="D245" t="s">
        <v>18</v>
      </c>
      <c r="E245" t="s">
        <v>41</v>
      </c>
      <c r="F245" t="s">
        <v>42</v>
      </c>
      <c r="G245" t="s">
        <v>125</v>
      </c>
      <c r="H245" t="s">
        <v>32</v>
      </c>
      <c r="I245" t="s">
        <v>52</v>
      </c>
      <c r="J245">
        <v>1</v>
      </c>
      <c r="K245" t="s">
        <v>463</v>
      </c>
      <c r="L245">
        <v>0.05</v>
      </c>
      <c r="M245">
        <v>312550</v>
      </c>
      <c r="N245" t="s">
        <v>171</v>
      </c>
      <c r="O245" t="s">
        <v>60</v>
      </c>
      <c r="P245" t="s">
        <v>54</v>
      </c>
    </row>
    <row r="246" spans="1:16" x14ac:dyDescent="0.3">
      <c r="A246" t="s">
        <v>464</v>
      </c>
      <c r="B246" s="2">
        <v>45721</v>
      </c>
      <c r="C246" t="s">
        <v>113</v>
      </c>
      <c r="D246" t="s">
        <v>29</v>
      </c>
      <c r="E246" t="s">
        <v>84</v>
      </c>
      <c r="F246" t="s">
        <v>114</v>
      </c>
      <c r="G246" t="s">
        <v>409</v>
      </c>
      <c r="H246" t="s">
        <v>22</v>
      </c>
      <c r="I246" t="s">
        <v>23</v>
      </c>
      <c r="J246">
        <v>4</v>
      </c>
      <c r="K246">
        <v>75000</v>
      </c>
      <c r="L246">
        <v>0</v>
      </c>
      <c r="M246">
        <v>-300000</v>
      </c>
      <c r="N246" t="s">
        <v>79</v>
      </c>
      <c r="O246" t="s">
        <v>175</v>
      </c>
      <c r="P246" t="s">
        <v>183</v>
      </c>
    </row>
    <row r="247" spans="1:16" x14ac:dyDescent="0.3">
      <c r="A247" t="s">
        <v>465</v>
      </c>
      <c r="B247" s="2">
        <v>45686</v>
      </c>
      <c r="C247" t="s">
        <v>147</v>
      </c>
      <c r="D247" t="s">
        <v>18</v>
      </c>
      <c r="E247" t="s">
        <v>148</v>
      </c>
      <c r="F247" t="s">
        <v>149</v>
      </c>
      <c r="G247" t="s">
        <v>204</v>
      </c>
      <c r="H247" t="s">
        <v>101</v>
      </c>
      <c r="I247" t="s">
        <v>156</v>
      </c>
      <c r="J247">
        <v>2</v>
      </c>
      <c r="K247">
        <v>145000</v>
      </c>
      <c r="L247">
        <v>0</v>
      </c>
      <c r="M247">
        <v>290000</v>
      </c>
      <c r="N247" t="s">
        <v>94</v>
      </c>
      <c r="O247" t="s">
        <v>60</v>
      </c>
      <c r="P247" t="s">
        <v>198</v>
      </c>
    </row>
    <row r="248" spans="1:16" x14ac:dyDescent="0.3">
      <c r="A248" t="s">
        <v>466</v>
      </c>
      <c r="B248" s="2">
        <v>45819</v>
      </c>
      <c r="C248" t="s">
        <v>39</v>
      </c>
      <c r="D248" t="s">
        <v>40</v>
      </c>
      <c r="E248" t="s">
        <v>41</v>
      </c>
      <c r="F248" t="s">
        <v>77</v>
      </c>
      <c r="G248" t="s">
        <v>74</v>
      </c>
      <c r="H248" t="s">
        <v>32</v>
      </c>
      <c r="I248" t="s">
        <v>33</v>
      </c>
      <c r="J248">
        <v>15</v>
      </c>
      <c r="K248">
        <v>83000</v>
      </c>
      <c r="L248">
        <v>0</v>
      </c>
      <c r="M248">
        <v>1245000</v>
      </c>
      <c r="N248" t="s">
        <v>35</v>
      </c>
      <c r="O248" t="s">
        <v>75</v>
      </c>
      <c r="P248" t="s">
        <v>244</v>
      </c>
    </row>
    <row r="249" spans="1:16" x14ac:dyDescent="0.3">
      <c r="A249" t="s">
        <v>455</v>
      </c>
      <c r="B249" s="2">
        <v>45944</v>
      </c>
      <c r="C249" t="s">
        <v>49</v>
      </c>
      <c r="D249" t="s">
        <v>50</v>
      </c>
      <c r="E249" t="s">
        <v>162</v>
      </c>
      <c r="F249" t="s">
        <v>20</v>
      </c>
      <c r="G249" t="s">
        <v>341</v>
      </c>
      <c r="H249" t="s">
        <v>101</v>
      </c>
      <c r="I249" t="s">
        <v>102</v>
      </c>
      <c r="J249">
        <v>4</v>
      </c>
      <c r="K249">
        <v>130000</v>
      </c>
      <c r="L249">
        <v>0</v>
      </c>
      <c r="M249">
        <v>520000</v>
      </c>
      <c r="N249" t="s">
        <v>94</v>
      </c>
      <c r="O249" t="s">
        <v>25</v>
      </c>
      <c r="P249" t="s">
        <v>54</v>
      </c>
    </row>
    <row r="250" spans="1:16" x14ac:dyDescent="0.3">
      <c r="A250" t="s">
        <v>467</v>
      </c>
      <c r="B250" s="2">
        <v>45809</v>
      </c>
      <c r="C250" t="s">
        <v>106</v>
      </c>
      <c r="D250" t="s">
        <v>50</v>
      </c>
      <c r="E250" t="s">
        <v>107</v>
      </c>
      <c r="F250" t="s">
        <v>108</v>
      </c>
      <c r="G250" t="s">
        <v>125</v>
      </c>
      <c r="H250" t="s">
        <v>32</v>
      </c>
      <c r="I250" t="s">
        <v>52</v>
      </c>
      <c r="J250">
        <v>7</v>
      </c>
      <c r="K250">
        <v>330000</v>
      </c>
      <c r="L250">
        <v>0.05</v>
      </c>
      <c r="M250">
        <v>2194500</v>
      </c>
      <c r="N250" t="s">
        <v>35</v>
      </c>
      <c r="O250" t="s">
        <v>25</v>
      </c>
      <c r="P250" t="s">
        <v>87</v>
      </c>
    </row>
    <row r="251" spans="1:16" x14ac:dyDescent="0.3">
      <c r="A251" t="s">
        <v>468</v>
      </c>
      <c r="B251" s="2">
        <v>45751</v>
      </c>
      <c r="C251" t="s">
        <v>135</v>
      </c>
      <c r="D251" t="s">
        <v>50</v>
      </c>
      <c r="E251" t="s">
        <v>107</v>
      </c>
      <c r="F251" t="s">
        <v>108</v>
      </c>
      <c r="G251" t="s">
        <v>357</v>
      </c>
      <c r="H251" t="s">
        <v>32</v>
      </c>
      <c r="I251" t="s">
        <v>58</v>
      </c>
      <c r="J251">
        <v>12</v>
      </c>
      <c r="K251">
        <v>382000</v>
      </c>
      <c r="L251">
        <v>0.1</v>
      </c>
      <c r="M251">
        <v>4125600</v>
      </c>
      <c r="N251" t="s">
        <v>53</v>
      </c>
      <c r="O251" t="s">
        <v>75</v>
      </c>
      <c r="P251" t="s">
        <v>47</v>
      </c>
    </row>
    <row r="252" spans="1:16" x14ac:dyDescent="0.3">
      <c r="A252" t="s">
        <v>469</v>
      </c>
      <c r="B252" s="2">
        <v>45890</v>
      </c>
      <c r="C252" t="s">
        <v>67</v>
      </c>
      <c r="D252" t="s">
        <v>68</v>
      </c>
      <c r="E252" t="s">
        <v>69</v>
      </c>
      <c r="F252" t="s">
        <v>70</v>
      </c>
      <c r="G252" t="s">
        <v>137</v>
      </c>
      <c r="H252" t="s">
        <v>138</v>
      </c>
      <c r="I252" t="s">
        <v>138</v>
      </c>
      <c r="J252">
        <v>14</v>
      </c>
      <c r="K252">
        <v>27000</v>
      </c>
      <c r="L252">
        <v>0.1</v>
      </c>
      <c r="M252">
        <v>340200</v>
      </c>
      <c r="N252" t="s">
        <v>53</v>
      </c>
      <c r="O252" t="s">
        <v>75</v>
      </c>
      <c r="P252" t="s">
        <v>87</v>
      </c>
    </row>
    <row r="253" spans="1:16" x14ac:dyDescent="0.3">
      <c r="A253" t="s">
        <v>470</v>
      </c>
      <c r="B253" s="2">
        <v>45776</v>
      </c>
      <c r="C253" t="s">
        <v>82</v>
      </c>
      <c r="D253" t="s">
        <v>83</v>
      </c>
      <c r="E253" t="s">
        <v>84</v>
      </c>
      <c r="F253" t="s">
        <v>152</v>
      </c>
      <c r="G253" t="s">
        <v>208</v>
      </c>
      <c r="H253" t="s">
        <v>209</v>
      </c>
      <c r="I253" t="s">
        <v>65</v>
      </c>
      <c r="J253">
        <v>2</v>
      </c>
      <c r="K253">
        <v>92000</v>
      </c>
      <c r="L253">
        <v>0</v>
      </c>
      <c r="M253">
        <v>184000</v>
      </c>
      <c r="N253" t="s">
        <v>35</v>
      </c>
      <c r="O253" t="s">
        <v>175</v>
      </c>
      <c r="P253" t="s">
        <v>87</v>
      </c>
    </row>
    <row r="254" spans="1:16" x14ac:dyDescent="0.3">
      <c r="A254" t="s">
        <v>471</v>
      </c>
      <c r="B254" s="2">
        <v>45947</v>
      </c>
      <c r="C254" t="s">
        <v>190</v>
      </c>
      <c r="D254" t="s">
        <v>191</v>
      </c>
      <c r="E254" t="s">
        <v>42</v>
      </c>
      <c r="F254" t="s">
        <v>97</v>
      </c>
      <c r="G254" t="s">
        <v>178</v>
      </c>
      <c r="H254" t="s">
        <v>101</v>
      </c>
      <c r="I254" t="s">
        <v>179</v>
      </c>
      <c r="J254">
        <v>1</v>
      </c>
      <c r="K254">
        <v>101000</v>
      </c>
      <c r="M254">
        <v>-90900</v>
      </c>
      <c r="N254" t="s">
        <v>53</v>
      </c>
      <c r="O254" t="s">
        <v>75</v>
      </c>
      <c r="P254" t="s">
        <v>164</v>
      </c>
    </row>
    <row r="255" spans="1:16" x14ac:dyDescent="0.3">
      <c r="A255" t="s">
        <v>472</v>
      </c>
      <c r="B255" s="2">
        <v>45747</v>
      </c>
      <c r="C255" t="s">
        <v>190</v>
      </c>
      <c r="D255" t="s">
        <v>191</v>
      </c>
      <c r="E255" t="s">
        <v>42</v>
      </c>
      <c r="F255" t="s">
        <v>42</v>
      </c>
      <c r="G255" t="s">
        <v>155</v>
      </c>
      <c r="H255" t="s">
        <v>101</v>
      </c>
      <c r="I255" t="s">
        <v>156</v>
      </c>
      <c r="J255">
        <v>14</v>
      </c>
      <c r="K255">
        <v>170000</v>
      </c>
      <c r="L255">
        <v>0.02</v>
      </c>
      <c r="M255">
        <v>2332400</v>
      </c>
      <c r="N255" t="s">
        <v>94</v>
      </c>
      <c r="O255" t="s">
        <v>60</v>
      </c>
      <c r="P255" t="s">
        <v>61</v>
      </c>
    </row>
    <row r="256" spans="1:16" x14ac:dyDescent="0.3">
      <c r="A256" t="s">
        <v>473</v>
      </c>
      <c r="B256" s="2">
        <v>45933</v>
      </c>
      <c r="C256" t="s">
        <v>56</v>
      </c>
      <c r="D256" t="s">
        <v>18</v>
      </c>
      <c r="E256" t="s">
        <v>42</v>
      </c>
      <c r="F256" t="s">
        <v>42</v>
      </c>
      <c r="G256" t="s">
        <v>341</v>
      </c>
      <c r="H256" t="s">
        <v>101</v>
      </c>
      <c r="I256" t="s">
        <v>102</v>
      </c>
      <c r="J256">
        <v>15</v>
      </c>
      <c r="K256">
        <v>137000</v>
      </c>
      <c r="L256">
        <v>0</v>
      </c>
      <c r="M256">
        <v>2055000</v>
      </c>
      <c r="N256" t="s">
        <v>35</v>
      </c>
      <c r="O256" t="s">
        <v>175</v>
      </c>
      <c r="P256" t="s">
        <v>54</v>
      </c>
    </row>
    <row r="257" spans="1:16" x14ac:dyDescent="0.3">
      <c r="A257" t="s">
        <v>474</v>
      </c>
      <c r="B257" s="2">
        <v>46001</v>
      </c>
      <c r="C257" t="s">
        <v>106</v>
      </c>
      <c r="D257" t="s">
        <v>50</v>
      </c>
      <c r="E257" t="s">
        <v>107</v>
      </c>
      <c r="F257" t="s">
        <v>108</v>
      </c>
      <c r="G257" t="s">
        <v>178</v>
      </c>
      <c r="H257" t="s">
        <v>101</v>
      </c>
      <c r="I257" t="s">
        <v>179</v>
      </c>
      <c r="J257">
        <v>10</v>
      </c>
      <c r="K257">
        <v>86000</v>
      </c>
      <c r="L257">
        <v>0.02</v>
      </c>
      <c r="M257">
        <v>842800</v>
      </c>
      <c r="N257" t="s">
        <v>94</v>
      </c>
      <c r="O257" t="s">
        <v>25</v>
      </c>
      <c r="P257" t="s">
        <v>121</v>
      </c>
    </row>
    <row r="258" spans="1:16" x14ac:dyDescent="0.3">
      <c r="A258" t="s">
        <v>475</v>
      </c>
      <c r="B258" s="2">
        <v>45819</v>
      </c>
      <c r="C258" t="s">
        <v>130</v>
      </c>
      <c r="D258" t="s">
        <v>131</v>
      </c>
      <c r="E258" t="s">
        <v>19</v>
      </c>
      <c r="F258" t="s">
        <v>20</v>
      </c>
      <c r="G258" t="s">
        <v>295</v>
      </c>
      <c r="H258" t="s">
        <v>32</v>
      </c>
      <c r="I258" t="s">
        <v>58</v>
      </c>
      <c r="J258">
        <v>15</v>
      </c>
      <c r="K258">
        <v>405000</v>
      </c>
      <c r="L258">
        <v>0.02</v>
      </c>
      <c r="M258">
        <v>0</v>
      </c>
      <c r="N258" t="s">
        <v>24</v>
      </c>
      <c r="O258" t="s">
        <v>95</v>
      </c>
      <c r="P258" t="s">
        <v>37</v>
      </c>
    </row>
    <row r="259" spans="1:16" x14ac:dyDescent="0.3">
      <c r="A259" t="s">
        <v>476</v>
      </c>
      <c r="B259" s="2">
        <v>45821</v>
      </c>
      <c r="C259" t="s">
        <v>82</v>
      </c>
      <c r="D259" t="s">
        <v>83</v>
      </c>
      <c r="E259" t="s">
        <v>84</v>
      </c>
      <c r="F259" t="s">
        <v>114</v>
      </c>
      <c r="G259" t="s">
        <v>450</v>
      </c>
      <c r="H259" t="s">
        <v>32</v>
      </c>
      <c r="I259" t="s">
        <v>58</v>
      </c>
      <c r="J259">
        <v>8</v>
      </c>
      <c r="K259">
        <v>420000</v>
      </c>
      <c r="L259">
        <v>0.1</v>
      </c>
      <c r="M259">
        <v>0</v>
      </c>
      <c r="N259" t="s">
        <v>103</v>
      </c>
      <c r="O259" t="s">
        <v>60</v>
      </c>
      <c r="P259" t="s">
        <v>26</v>
      </c>
    </row>
    <row r="260" spans="1:16" x14ac:dyDescent="0.3">
      <c r="A260" t="s">
        <v>477</v>
      </c>
      <c r="B260" s="2">
        <v>45771</v>
      </c>
      <c r="C260" t="s">
        <v>28</v>
      </c>
      <c r="D260" t="s">
        <v>29</v>
      </c>
      <c r="E260" t="s">
        <v>30</v>
      </c>
      <c r="F260" t="s">
        <v>20</v>
      </c>
      <c r="G260" t="s">
        <v>478</v>
      </c>
      <c r="H260" t="s">
        <v>101</v>
      </c>
      <c r="I260" t="s">
        <v>102</v>
      </c>
      <c r="J260">
        <v>10</v>
      </c>
      <c r="K260">
        <v>129000</v>
      </c>
      <c r="L260">
        <v>0</v>
      </c>
      <c r="M260">
        <v>0</v>
      </c>
      <c r="N260" t="s">
        <v>35</v>
      </c>
      <c r="P260" t="s">
        <v>26</v>
      </c>
    </row>
    <row r="261" spans="1:16" x14ac:dyDescent="0.3">
      <c r="A261" t="s">
        <v>474</v>
      </c>
      <c r="B261" s="2">
        <v>46001</v>
      </c>
      <c r="C261" t="s">
        <v>106</v>
      </c>
      <c r="D261" t="s">
        <v>50</v>
      </c>
      <c r="E261" t="s">
        <v>107</v>
      </c>
      <c r="F261" t="s">
        <v>108</v>
      </c>
      <c r="G261" t="s">
        <v>178</v>
      </c>
      <c r="H261" t="s">
        <v>101</v>
      </c>
      <c r="I261" t="s">
        <v>179</v>
      </c>
      <c r="J261">
        <v>10</v>
      </c>
      <c r="K261">
        <v>86000</v>
      </c>
      <c r="L261">
        <v>0.02</v>
      </c>
      <c r="M261">
        <v>842800</v>
      </c>
      <c r="N261" t="s">
        <v>94</v>
      </c>
      <c r="O261" t="s">
        <v>25</v>
      </c>
      <c r="P261" t="s">
        <v>121</v>
      </c>
    </row>
    <row r="262" spans="1:16" x14ac:dyDescent="0.3">
      <c r="A262" t="s">
        <v>479</v>
      </c>
      <c r="B262" s="2">
        <v>45919</v>
      </c>
      <c r="C262" t="s">
        <v>113</v>
      </c>
      <c r="D262" t="s">
        <v>29</v>
      </c>
      <c r="E262" t="s">
        <v>187</v>
      </c>
      <c r="F262" t="s">
        <v>99</v>
      </c>
      <c r="G262" t="s">
        <v>341</v>
      </c>
      <c r="H262" t="s">
        <v>101</v>
      </c>
      <c r="I262" t="s">
        <v>102</v>
      </c>
      <c r="J262">
        <v>1</v>
      </c>
      <c r="K262" t="s">
        <v>480</v>
      </c>
      <c r="L262">
        <v>0.02</v>
      </c>
      <c r="M262" t="s">
        <v>34</v>
      </c>
      <c r="N262" t="s">
        <v>35</v>
      </c>
      <c r="O262" t="s">
        <v>95</v>
      </c>
      <c r="P262" t="s">
        <v>104</v>
      </c>
    </row>
    <row r="263" spans="1:16" x14ac:dyDescent="0.3">
      <c r="A263" t="s">
        <v>211</v>
      </c>
      <c r="B263" s="2">
        <v>45906</v>
      </c>
      <c r="C263" t="s">
        <v>154</v>
      </c>
      <c r="D263" t="s">
        <v>131</v>
      </c>
      <c r="E263" t="s">
        <v>162</v>
      </c>
      <c r="F263" t="s">
        <v>203</v>
      </c>
      <c r="G263" t="s">
        <v>64</v>
      </c>
      <c r="H263" t="s">
        <v>32</v>
      </c>
      <c r="I263" t="s">
        <v>65</v>
      </c>
      <c r="J263">
        <v>15</v>
      </c>
      <c r="K263">
        <v>467000</v>
      </c>
      <c r="L263">
        <v>0</v>
      </c>
      <c r="M263">
        <v>7005000</v>
      </c>
      <c r="N263" t="s">
        <v>79</v>
      </c>
      <c r="O263" t="s">
        <v>75</v>
      </c>
      <c r="P263" t="s">
        <v>54</v>
      </c>
    </row>
    <row r="264" spans="1:16" x14ac:dyDescent="0.3">
      <c r="A264" t="s">
        <v>481</v>
      </c>
      <c r="B264" s="2">
        <v>45976</v>
      </c>
      <c r="C264" t="s">
        <v>49</v>
      </c>
      <c r="D264" t="s">
        <v>50</v>
      </c>
      <c r="E264" t="s">
        <v>19</v>
      </c>
      <c r="F264" t="s">
        <v>133</v>
      </c>
      <c r="G264" t="s">
        <v>204</v>
      </c>
      <c r="H264" t="s">
        <v>101</v>
      </c>
      <c r="I264" t="s">
        <v>156</v>
      </c>
      <c r="J264">
        <v>15</v>
      </c>
      <c r="K264">
        <v>145000</v>
      </c>
      <c r="L264">
        <v>0.1</v>
      </c>
      <c r="M264" t="s">
        <v>482</v>
      </c>
      <c r="N264" t="s">
        <v>53</v>
      </c>
      <c r="O264" t="s">
        <v>25</v>
      </c>
      <c r="P264" t="s">
        <v>61</v>
      </c>
    </row>
    <row r="265" spans="1:16" x14ac:dyDescent="0.3">
      <c r="A265" t="s">
        <v>483</v>
      </c>
      <c r="B265" s="2">
        <v>45690</v>
      </c>
      <c r="C265" t="s">
        <v>117</v>
      </c>
      <c r="D265" t="s">
        <v>68</v>
      </c>
      <c r="E265" t="s">
        <v>123</v>
      </c>
      <c r="F265" t="s">
        <v>119</v>
      </c>
      <c r="G265" t="s">
        <v>137</v>
      </c>
      <c r="H265" t="s">
        <v>138</v>
      </c>
      <c r="I265" t="s">
        <v>138</v>
      </c>
      <c r="J265">
        <v>10</v>
      </c>
      <c r="K265">
        <v>26000</v>
      </c>
      <c r="L265">
        <v>0.1</v>
      </c>
      <c r="M265">
        <v>234000</v>
      </c>
      <c r="N265" t="s">
        <v>140</v>
      </c>
      <c r="O265" t="s">
        <v>60</v>
      </c>
      <c r="P265" t="s">
        <v>61</v>
      </c>
    </row>
    <row r="266" spans="1:16" x14ac:dyDescent="0.3">
      <c r="A266" t="s">
        <v>484</v>
      </c>
      <c r="B266" s="2">
        <v>45900</v>
      </c>
      <c r="C266" t="s">
        <v>17</v>
      </c>
      <c r="D266" t="s">
        <v>18</v>
      </c>
      <c r="E266" t="s">
        <v>19</v>
      </c>
      <c r="F266" t="s">
        <v>203</v>
      </c>
      <c r="G266" t="s">
        <v>64</v>
      </c>
      <c r="H266" t="s">
        <v>32</v>
      </c>
      <c r="I266" t="s">
        <v>65</v>
      </c>
      <c r="J266">
        <v>6</v>
      </c>
      <c r="K266">
        <v>495000</v>
      </c>
      <c r="L266">
        <v>0.02</v>
      </c>
      <c r="M266" t="s">
        <v>485</v>
      </c>
      <c r="N266" t="s">
        <v>103</v>
      </c>
      <c r="O266" t="s">
        <v>145</v>
      </c>
      <c r="P266" t="s">
        <v>150</v>
      </c>
    </row>
    <row r="267" spans="1:16" x14ac:dyDescent="0.3">
      <c r="A267" t="s">
        <v>211</v>
      </c>
      <c r="B267" s="2">
        <v>45906</v>
      </c>
      <c r="C267" t="s">
        <v>154</v>
      </c>
      <c r="D267" t="s">
        <v>131</v>
      </c>
      <c r="E267" t="s">
        <v>162</v>
      </c>
      <c r="F267" t="s">
        <v>203</v>
      </c>
      <c r="G267" t="s">
        <v>64</v>
      </c>
      <c r="H267" t="s">
        <v>32</v>
      </c>
      <c r="I267" t="s">
        <v>65</v>
      </c>
      <c r="J267">
        <v>15</v>
      </c>
      <c r="K267">
        <v>467000</v>
      </c>
      <c r="L267">
        <v>0</v>
      </c>
      <c r="M267">
        <v>7005000</v>
      </c>
      <c r="N267" t="s">
        <v>79</v>
      </c>
      <c r="O267" t="s">
        <v>75</v>
      </c>
      <c r="P267" t="s">
        <v>54</v>
      </c>
    </row>
    <row r="268" spans="1:16" x14ac:dyDescent="0.3">
      <c r="A268" t="s">
        <v>486</v>
      </c>
      <c r="B268" s="2">
        <v>45829</v>
      </c>
      <c r="C268" t="s">
        <v>113</v>
      </c>
      <c r="D268" t="s">
        <v>29</v>
      </c>
      <c r="E268" t="s">
        <v>84</v>
      </c>
      <c r="F268" t="s">
        <v>99</v>
      </c>
      <c r="G268" t="s">
        <v>155</v>
      </c>
      <c r="H268" t="s">
        <v>101</v>
      </c>
      <c r="I268" t="s">
        <v>156</v>
      </c>
      <c r="J268">
        <v>7</v>
      </c>
      <c r="K268">
        <v>198000</v>
      </c>
      <c r="L268">
        <v>0</v>
      </c>
      <c r="M268">
        <v>1386000</v>
      </c>
      <c r="N268" t="s">
        <v>126</v>
      </c>
      <c r="O268" t="s">
        <v>95</v>
      </c>
      <c r="P268" t="s">
        <v>61</v>
      </c>
    </row>
    <row r="269" spans="1:16" x14ac:dyDescent="0.3">
      <c r="A269" t="s">
        <v>487</v>
      </c>
      <c r="B269" s="2">
        <v>45939</v>
      </c>
      <c r="C269" t="s">
        <v>17</v>
      </c>
      <c r="D269" t="s">
        <v>18</v>
      </c>
      <c r="E269" t="s">
        <v>19</v>
      </c>
      <c r="F269" t="s">
        <v>73</v>
      </c>
      <c r="G269" t="s">
        <v>109</v>
      </c>
      <c r="H269" t="s">
        <v>32</v>
      </c>
      <c r="I269" t="s">
        <v>44</v>
      </c>
      <c r="J269">
        <v>10</v>
      </c>
      <c r="K269">
        <v>148000</v>
      </c>
      <c r="L269">
        <v>0.1</v>
      </c>
      <c r="M269">
        <v>1332000</v>
      </c>
      <c r="N269" t="s">
        <v>94</v>
      </c>
      <c r="O269" t="s">
        <v>46</v>
      </c>
      <c r="P269" t="s">
        <v>61</v>
      </c>
    </row>
    <row r="270" spans="1:16" x14ac:dyDescent="0.3">
      <c r="A270" t="s">
        <v>488</v>
      </c>
      <c r="B270" s="2">
        <v>45801</v>
      </c>
      <c r="D270" t="s">
        <v>18</v>
      </c>
      <c r="E270" t="s">
        <v>41</v>
      </c>
      <c r="F270" t="s">
        <v>77</v>
      </c>
      <c r="G270" t="s">
        <v>489</v>
      </c>
      <c r="H270" t="s">
        <v>32</v>
      </c>
      <c r="I270" t="s">
        <v>44</v>
      </c>
      <c r="K270">
        <v>264000</v>
      </c>
      <c r="L270">
        <v>0.1</v>
      </c>
      <c r="M270" t="s">
        <v>490</v>
      </c>
      <c r="N270" t="s">
        <v>86</v>
      </c>
      <c r="O270" t="s">
        <v>175</v>
      </c>
      <c r="P270" t="s">
        <v>47</v>
      </c>
    </row>
    <row r="271" spans="1:16" x14ac:dyDescent="0.3">
      <c r="A271" t="s">
        <v>491</v>
      </c>
      <c r="B271" s="2">
        <v>45701</v>
      </c>
      <c r="C271" t="s">
        <v>190</v>
      </c>
      <c r="D271" t="s">
        <v>191</v>
      </c>
      <c r="E271" t="s">
        <v>42</v>
      </c>
      <c r="F271" t="s">
        <v>41</v>
      </c>
      <c r="G271" t="s">
        <v>57</v>
      </c>
      <c r="H271" t="s">
        <v>32</v>
      </c>
      <c r="I271" t="s">
        <v>58</v>
      </c>
      <c r="J271">
        <v>15</v>
      </c>
      <c r="K271">
        <v>747000</v>
      </c>
      <c r="L271">
        <v>0.05</v>
      </c>
      <c r="M271">
        <v>-10644750</v>
      </c>
      <c r="N271" t="s">
        <v>53</v>
      </c>
      <c r="O271" t="s">
        <v>175</v>
      </c>
      <c r="P271" t="s">
        <v>183</v>
      </c>
    </row>
    <row r="272" spans="1:16" x14ac:dyDescent="0.3">
      <c r="A272" t="s">
        <v>492</v>
      </c>
      <c r="B272" s="2">
        <v>45798</v>
      </c>
      <c r="C272" t="s">
        <v>135</v>
      </c>
      <c r="D272" t="s">
        <v>50</v>
      </c>
      <c r="E272" t="s">
        <v>107</v>
      </c>
      <c r="F272" t="s">
        <v>108</v>
      </c>
      <c r="G272" t="s">
        <v>51</v>
      </c>
      <c r="H272" t="s">
        <v>32</v>
      </c>
      <c r="I272" t="s">
        <v>52</v>
      </c>
      <c r="J272">
        <v>4</v>
      </c>
      <c r="K272">
        <v>357000</v>
      </c>
      <c r="L272">
        <v>0</v>
      </c>
      <c r="M272">
        <v>-1428000</v>
      </c>
      <c r="N272" t="s">
        <v>35</v>
      </c>
      <c r="O272" t="s">
        <v>145</v>
      </c>
      <c r="P272" t="s">
        <v>183</v>
      </c>
    </row>
    <row r="273" spans="1:16" x14ac:dyDescent="0.3">
      <c r="A273" t="s">
        <v>493</v>
      </c>
      <c r="B273" s="2">
        <v>45694</v>
      </c>
      <c r="C273" t="s">
        <v>159</v>
      </c>
      <c r="D273" t="s">
        <v>131</v>
      </c>
      <c r="E273" t="s">
        <v>187</v>
      </c>
      <c r="F273" t="s">
        <v>152</v>
      </c>
      <c r="G273" t="s">
        <v>169</v>
      </c>
      <c r="H273" t="s">
        <v>22</v>
      </c>
      <c r="I273" t="s">
        <v>23</v>
      </c>
      <c r="J273">
        <v>12</v>
      </c>
      <c r="K273">
        <v>40000</v>
      </c>
      <c r="L273">
        <v>0</v>
      </c>
      <c r="M273" t="s">
        <v>34</v>
      </c>
      <c r="N273" t="s">
        <v>53</v>
      </c>
      <c r="O273" t="s">
        <v>46</v>
      </c>
      <c r="P273" t="s">
        <v>37</v>
      </c>
    </row>
    <row r="274" spans="1:16" x14ac:dyDescent="0.3">
      <c r="A274" t="s">
        <v>494</v>
      </c>
      <c r="B274" s="2">
        <v>45805</v>
      </c>
      <c r="C274" t="s">
        <v>82</v>
      </c>
      <c r="D274" t="s">
        <v>83</v>
      </c>
      <c r="E274" t="s">
        <v>174</v>
      </c>
      <c r="F274" t="s">
        <v>152</v>
      </c>
      <c r="G274" t="s">
        <v>355</v>
      </c>
      <c r="H274" t="s">
        <v>22</v>
      </c>
      <c r="I274" t="s">
        <v>23</v>
      </c>
      <c r="J274">
        <v>5</v>
      </c>
      <c r="K274">
        <v>80000</v>
      </c>
      <c r="L274">
        <v>0.05</v>
      </c>
      <c r="M274">
        <v>0</v>
      </c>
      <c r="N274" t="s">
        <v>35</v>
      </c>
      <c r="O274" t="s">
        <v>95</v>
      </c>
      <c r="P274" t="s">
        <v>141</v>
      </c>
    </row>
    <row r="275" spans="1:16" x14ac:dyDescent="0.3">
      <c r="A275" t="s">
        <v>495</v>
      </c>
      <c r="B275" s="2">
        <v>45682</v>
      </c>
      <c r="C275" t="s">
        <v>56</v>
      </c>
      <c r="D275" t="s">
        <v>18</v>
      </c>
      <c r="E275" t="s">
        <v>77</v>
      </c>
      <c r="F275" t="s">
        <v>77</v>
      </c>
      <c r="G275" t="s">
        <v>295</v>
      </c>
      <c r="H275" t="s">
        <v>32</v>
      </c>
      <c r="I275" t="s">
        <v>58</v>
      </c>
      <c r="J275">
        <v>9</v>
      </c>
      <c r="K275">
        <v>392000</v>
      </c>
      <c r="L275">
        <v>0.1</v>
      </c>
      <c r="M275">
        <v>-3175200</v>
      </c>
      <c r="N275" t="s">
        <v>35</v>
      </c>
      <c r="O275" t="s">
        <v>145</v>
      </c>
      <c r="P275" t="s">
        <v>183</v>
      </c>
    </row>
    <row r="276" spans="1:16" x14ac:dyDescent="0.3">
      <c r="A276" t="s">
        <v>496</v>
      </c>
      <c r="B276" s="2">
        <v>45707</v>
      </c>
      <c r="C276" t="s">
        <v>28</v>
      </c>
      <c r="D276" t="s">
        <v>29</v>
      </c>
      <c r="E276" t="s">
        <v>30</v>
      </c>
      <c r="F276" t="s">
        <v>20</v>
      </c>
      <c r="G276" t="s">
        <v>71</v>
      </c>
      <c r="H276" t="s">
        <v>32</v>
      </c>
      <c r="I276" t="s">
        <v>33</v>
      </c>
      <c r="J276">
        <v>8</v>
      </c>
      <c r="K276">
        <v>282000</v>
      </c>
      <c r="L276">
        <v>0</v>
      </c>
      <c r="M276">
        <v>-2256000</v>
      </c>
      <c r="N276" t="s">
        <v>35</v>
      </c>
      <c r="O276" t="s">
        <v>25</v>
      </c>
      <c r="P276" t="s">
        <v>183</v>
      </c>
    </row>
    <row r="277" spans="1:16" x14ac:dyDescent="0.3">
      <c r="A277" t="s">
        <v>323</v>
      </c>
      <c r="B277" s="2">
        <v>45972</v>
      </c>
      <c r="C277" t="s">
        <v>130</v>
      </c>
      <c r="D277" t="s">
        <v>131</v>
      </c>
      <c r="E277" t="s">
        <v>19</v>
      </c>
      <c r="F277" t="s">
        <v>20</v>
      </c>
      <c r="G277" t="s">
        <v>21</v>
      </c>
      <c r="H277" t="s">
        <v>22</v>
      </c>
      <c r="I277" t="s">
        <v>23</v>
      </c>
      <c r="J277">
        <v>11</v>
      </c>
      <c r="K277">
        <v>18000</v>
      </c>
      <c r="L277">
        <v>0</v>
      </c>
      <c r="M277">
        <v>198000</v>
      </c>
      <c r="N277" t="s">
        <v>324</v>
      </c>
      <c r="O277" t="s">
        <v>46</v>
      </c>
      <c r="P277" t="s">
        <v>61</v>
      </c>
    </row>
    <row r="278" spans="1:16" x14ac:dyDescent="0.3">
      <c r="A278" t="s">
        <v>497</v>
      </c>
      <c r="B278" s="2">
        <v>45898</v>
      </c>
      <c r="C278" t="s">
        <v>147</v>
      </c>
      <c r="D278" t="s">
        <v>18</v>
      </c>
      <c r="E278" t="s">
        <v>148</v>
      </c>
      <c r="F278" t="s">
        <v>149</v>
      </c>
      <c r="G278" t="s">
        <v>109</v>
      </c>
      <c r="H278" t="s">
        <v>32</v>
      </c>
      <c r="I278" t="s">
        <v>44</v>
      </c>
      <c r="J278">
        <v>3</v>
      </c>
      <c r="K278">
        <v>130000</v>
      </c>
      <c r="L278">
        <v>0.1</v>
      </c>
      <c r="M278">
        <v>0</v>
      </c>
      <c r="N278" t="s">
        <v>86</v>
      </c>
      <c r="O278" t="s">
        <v>46</v>
      </c>
      <c r="P278" t="s">
        <v>26</v>
      </c>
    </row>
    <row r="279" spans="1:16" x14ac:dyDescent="0.3">
      <c r="A279" t="s">
        <v>498</v>
      </c>
      <c r="B279" s="2">
        <v>45988</v>
      </c>
      <c r="D279" t="s">
        <v>40</v>
      </c>
      <c r="E279" t="s">
        <v>42</v>
      </c>
      <c r="F279" t="s">
        <v>77</v>
      </c>
      <c r="G279" t="s">
        <v>71</v>
      </c>
      <c r="H279" t="s">
        <v>32</v>
      </c>
      <c r="I279" t="s">
        <v>33</v>
      </c>
      <c r="K279" t="s">
        <v>499</v>
      </c>
      <c r="L279">
        <v>0.05</v>
      </c>
      <c r="M279">
        <v>1505750</v>
      </c>
      <c r="N279" t="s">
        <v>94</v>
      </c>
      <c r="O279" t="s">
        <v>75</v>
      </c>
      <c r="P279" t="s">
        <v>244</v>
      </c>
    </row>
    <row r="280" spans="1:16" x14ac:dyDescent="0.3">
      <c r="A280" t="s">
        <v>500</v>
      </c>
      <c r="B280" s="2">
        <v>45841</v>
      </c>
      <c r="C280" t="s">
        <v>159</v>
      </c>
      <c r="D280" t="s">
        <v>131</v>
      </c>
      <c r="E280" t="s">
        <v>84</v>
      </c>
      <c r="F280" t="s">
        <v>114</v>
      </c>
      <c r="G280" t="s">
        <v>208</v>
      </c>
      <c r="H280" t="s">
        <v>209</v>
      </c>
      <c r="I280" t="s">
        <v>65</v>
      </c>
      <c r="J280">
        <v>15</v>
      </c>
      <c r="K280" t="s">
        <v>501</v>
      </c>
      <c r="L280">
        <v>0.05</v>
      </c>
      <c r="M280">
        <v>-1482000</v>
      </c>
      <c r="N280" t="s">
        <v>94</v>
      </c>
      <c r="O280" t="s">
        <v>95</v>
      </c>
      <c r="P280" t="s">
        <v>80</v>
      </c>
    </row>
    <row r="281" spans="1:16" x14ac:dyDescent="0.3">
      <c r="A281" t="s">
        <v>502</v>
      </c>
      <c r="B281" s="2">
        <v>45961</v>
      </c>
      <c r="C281" t="s">
        <v>106</v>
      </c>
      <c r="D281" t="s">
        <v>50</v>
      </c>
      <c r="E281" t="s">
        <v>107</v>
      </c>
      <c r="F281" t="s">
        <v>108</v>
      </c>
      <c r="G281" t="s">
        <v>137</v>
      </c>
      <c r="H281" t="s">
        <v>138</v>
      </c>
      <c r="I281" t="s">
        <v>138</v>
      </c>
      <c r="J281">
        <v>2</v>
      </c>
      <c r="K281">
        <v>25000</v>
      </c>
      <c r="L281">
        <v>0</v>
      </c>
      <c r="M281">
        <v>50000</v>
      </c>
      <c r="N281" t="s">
        <v>35</v>
      </c>
      <c r="O281" t="s">
        <v>145</v>
      </c>
      <c r="P281" t="s">
        <v>61</v>
      </c>
    </row>
  </sheetData>
  <autoFilter ref="A1:P28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9933-5822-491E-8540-6EFA72D62A6E}">
  <dimension ref="A1:R24"/>
  <sheetViews>
    <sheetView workbookViewId="0">
      <selection activeCell="C25" sqref="C25"/>
    </sheetView>
  </sheetViews>
  <sheetFormatPr defaultRowHeight="14.4" x14ac:dyDescent="0.3"/>
  <cols>
    <col min="1" max="1" width="15.88671875" bestFit="1" customWidth="1"/>
    <col min="2" max="2" width="18" bestFit="1" customWidth="1"/>
    <col min="3" max="3" width="10.88671875" bestFit="1" customWidth="1"/>
    <col min="4" max="4" width="11.33203125" bestFit="1" customWidth="1"/>
    <col min="5" max="5" width="22.5546875" bestFit="1" customWidth="1"/>
    <col min="6" max="6" width="17.77734375" bestFit="1" customWidth="1"/>
    <col min="7" max="7" width="12.109375" bestFit="1" customWidth="1"/>
    <col min="8" max="8" width="10.109375" bestFit="1" customWidth="1"/>
    <col min="9" max="9" width="19.21875" bestFit="1" customWidth="1"/>
    <col min="10" max="10" width="11.77734375" bestFit="1" customWidth="1"/>
    <col min="11" max="11" width="14.21875" bestFit="1" customWidth="1"/>
    <col min="12" max="12" width="10.5546875" bestFit="1" customWidth="1"/>
    <col min="13" max="13" width="15.5546875" bestFit="1" customWidth="1"/>
    <col min="14" max="14" width="15.44140625" bestFit="1" customWidth="1"/>
    <col min="15" max="15" width="15" bestFit="1" customWidth="1"/>
    <col min="16" max="16" width="18.6640625" bestFit="1" customWidth="1"/>
    <col min="17" max="17" width="13.21875" bestFit="1" customWidth="1"/>
    <col min="18" max="18" width="9.88671875" bestFit="1" customWidth="1"/>
  </cols>
  <sheetData>
    <row r="1" spans="1:18" x14ac:dyDescent="0.3">
      <c r="A1" s="3" t="s">
        <v>646</v>
      </c>
    </row>
    <row r="3" spans="1:18" x14ac:dyDescent="0.3">
      <c r="A3" t="s">
        <v>0</v>
      </c>
      <c r="B3" t="s">
        <v>1</v>
      </c>
      <c r="C3" t="s">
        <v>639</v>
      </c>
      <c r="D3" t="s">
        <v>640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613</v>
      </c>
      <c r="N3" t="s">
        <v>11</v>
      </c>
      <c r="O3" t="s">
        <v>614</v>
      </c>
      <c r="P3" t="s">
        <v>13</v>
      </c>
      <c r="Q3" t="s">
        <v>14</v>
      </c>
      <c r="R3" t="s">
        <v>15</v>
      </c>
    </row>
    <row r="4" spans="1:18" x14ac:dyDescent="0.3">
      <c r="A4" t="s">
        <v>498</v>
      </c>
      <c r="B4" s="7">
        <v>45988</v>
      </c>
      <c r="C4" t="s">
        <v>577</v>
      </c>
      <c r="D4" t="s">
        <v>578</v>
      </c>
      <c r="E4" t="s">
        <v>621</v>
      </c>
      <c r="F4" t="s">
        <v>40</v>
      </c>
      <c r="G4" t="s">
        <v>42</v>
      </c>
      <c r="H4" t="s">
        <v>42</v>
      </c>
      <c r="I4" t="s">
        <v>71</v>
      </c>
      <c r="J4" t="s">
        <v>32</v>
      </c>
      <c r="K4" t="s">
        <v>33</v>
      </c>
      <c r="L4">
        <v>0</v>
      </c>
      <c r="M4">
        <v>6800000</v>
      </c>
      <c r="N4">
        <v>0.05</v>
      </c>
      <c r="O4">
        <v>1505750</v>
      </c>
      <c r="P4" t="s">
        <v>94</v>
      </c>
      <c r="Q4" t="s">
        <v>75</v>
      </c>
      <c r="R4" t="s">
        <v>61</v>
      </c>
    </row>
    <row r="5" spans="1:18" x14ac:dyDescent="0.3">
      <c r="A5" t="s">
        <v>471</v>
      </c>
      <c r="B5" s="7">
        <v>45947</v>
      </c>
      <c r="C5" t="s">
        <v>593</v>
      </c>
      <c r="D5" t="s">
        <v>578</v>
      </c>
      <c r="E5" t="s">
        <v>190</v>
      </c>
      <c r="F5" t="s">
        <v>191</v>
      </c>
      <c r="G5" t="s">
        <v>42</v>
      </c>
      <c r="H5" t="s">
        <v>42</v>
      </c>
      <c r="I5" t="s">
        <v>178</v>
      </c>
      <c r="J5" t="s">
        <v>101</v>
      </c>
      <c r="K5" t="s">
        <v>179</v>
      </c>
      <c r="L5">
        <v>1</v>
      </c>
      <c r="M5">
        <v>101000</v>
      </c>
      <c r="N5">
        <v>0</v>
      </c>
      <c r="O5">
        <v>90900</v>
      </c>
      <c r="P5" t="s">
        <v>53</v>
      </c>
      <c r="Q5" t="s">
        <v>75</v>
      </c>
      <c r="R5" t="s">
        <v>183</v>
      </c>
    </row>
    <row r="6" spans="1:18" x14ac:dyDescent="0.3">
      <c r="A6" t="s">
        <v>469</v>
      </c>
      <c r="B6" s="7">
        <v>45890</v>
      </c>
      <c r="C6" t="s">
        <v>588</v>
      </c>
      <c r="D6" t="s">
        <v>586</v>
      </c>
      <c r="E6" t="s">
        <v>67</v>
      </c>
      <c r="F6" t="s">
        <v>68</v>
      </c>
      <c r="G6" t="s">
        <v>69</v>
      </c>
      <c r="H6" t="s">
        <v>70</v>
      </c>
      <c r="I6" t="s">
        <v>137</v>
      </c>
      <c r="J6" t="s">
        <v>138</v>
      </c>
      <c r="K6" t="s">
        <v>138</v>
      </c>
      <c r="L6">
        <v>14</v>
      </c>
      <c r="M6">
        <v>27000</v>
      </c>
      <c r="N6">
        <v>0.1</v>
      </c>
      <c r="O6">
        <v>340200</v>
      </c>
      <c r="P6" t="s">
        <v>53</v>
      </c>
      <c r="Q6" t="s">
        <v>75</v>
      </c>
      <c r="R6" t="s">
        <v>87</v>
      </c>
    </row>
    <row r="7" spans="1:18" x14ac:dyDescent="0.3">
      <c r="A7" t="s">
        <v>468</v>
      </c>
      <c r="B7" s="7">
        <v>45751</v>
      </c>
      <c r="C7" t="s">
        <v>582</v>
      </c>
      <c r="D7" t="s">
        <v>583</v>
      </c>
      <c r="E7" t="s">
        <v>135</v>
      </c>
      <c r="F7" t="s">
        <v>50</v>
      </c>
      <c r="G7" t="s">
        <v>107</v>
      </c>
      <c r="H7" t="s">
        <v>108</v>
      </c>
      <c r="I7" t="s">
        <v>295</v>
      </c>
      <c r="J7" t="s">
        <v>32</v>
      </c>
      <c r="K7" t="s">
        <v>58</v>
      </c>
      <c r="L7">
        <v>12</v>
      </c>
      <c r="M7">
        <v>382000</v>
      </c>
      <c r="N7">
        <v>0.1</v>
      </c>
      <c r="O7">
        <v>4125600</v>
      </c>
      <c r="P7" t="s">
        <v>53</v>
      </c>
      <c r="Q7" t="s">
        <v>75</v>
      </c>
      <c r="R7" t="s">
        <v>615</v>
      </c>
    </row>
    <row r="8" spans="1:18" x14ac:dyDescent="0.3">
      <c r="A8" t="s">
        <v>466</v>
      </c>
      <c r="B8" s="7">
        <v>45819</v>
      </c>
      <c r="C8" t="s">
        <v>589</v>
      </c>
      <c r="D8" t="s">
        <v>583</v>
      </c>
      <c r="E8" t="s">
        <v>39</v>
      </c>
      <c r="F8" t="s">
        <v>40</v>
      </c>
      <c r="G8" t="s">
        <v>42</v>
      </c>
      <c r="H8" t="s">
        <v>42</v>
      </c>
      <c r="I8" t="s">
        <v>74</v>
      </c>
      <c r="J8" t="s">
        <v>32</v>
      </c>
      <c r="K8" t="s">
        <v>33</v>
      </c>
      <c r="L8">
        <v>15</v>
      </c>
      <c r="M8">
        <v>83000</v>
      </c>
      <c r="N8">
        <v>0</v>
      </c>
      <c r="O8">
        <v>1245000</v>
      </c>
      <c r="P8" t="s">
        <v>35</v>
      </c>
      <c r="Q8" t="s">
        <v>75</v>
      </c>
      <c r="R8" t="s">
        <v>61</v>
      </c>
    </row>
    <row r="9" spans="1:18" x14ac:dyDescent="0.3">
      <c r="A9" t="s">
        <v>400</v>
      </c>
      <c r="B9" s="7">
        <v>45837</v>
      </c>
      <c r="C9" t="s">
        <v>589</v>
      </c>
      <c r="D9" t="s">
        <v>583</v>
      </c>
      <c r="E9" t="s">
        <v>113</v>
      </c>
      <c r="F9" t="s">
        <v>29</v>
      </c>
      <c r="G9" t="s">
        <v>84</v>
      </c>
      <c r="H9" t="s">
        <v>114</v>
      </c>
      <c r="I9" t="s">
        <v>208</v>
      </c>
      <c r="J9" t="s">
        <v>209</v>
      </c>
      <c r="K9" t="s">
        <v>65</v>
      </c>
      <c r="L9">
        <v>11</v>
      </c>
      <c r="M9">
        <v>102000</v>
      </c>
      <c r="N9">
        <v>0.02</v>
      </c>
      <c r="O9">
        <v>1099560</v>
      </c>
      <c r="P9" t="s">
        <v>53</v>
      </c>
      <c r="Q9" t="s">
        <v>75</v>
      </c>
      <c r="R9" t="s">
        <v>61</v>
      </c>
    </row>
    <row r="10" spans="1:18" x14ac:dyDescent="0.3">
      <c r="A10" t="s">
        <v>354</v>
      </c>
      <c r="B10" s="7">
        <v>45738</v>
      </c>
      <c r="C10" t="s">
        <v>592</v>
      </c>
      <c r="D10" t="s">
        <v>580</v>
      </c>
      <c r="E10" t="s">
        <v>117</v>
      </c>
      <c r="F10" t="s">
        <v>68</v>
      </c>
      <c r="G10" t="s">
        <v>123</v>
      </c>
      <c r="H10" t="s">
        <v>225</v>
      </c>
      <c r="I10" t="s">
        <v>160</v>
      </c>
      <c r="J10" t="s">
        <v>22</v>
      </c>
      <c r="K10" t="s">
        <v>23</v>
      </c>
      <c r="L10">
        <v>14</v>
      </c>
      <c r="M10">
        <v>69000</v>
      </c>
      <c r="N10">
        <v>0.1</v>
      </c>
      <c r="O10">
        <v>869400</v>
      </c>
      <c r="P10" t="s">
        <v>94</v>
      </c>
      <c r="Q10" t="s">
        <v>75</v>
      </c>
      <c r="R10" t="s">
        <v>61</v>
      </c>
    </row>
    <row r="11" spans="1:18" x14ac:dyDescent="0.3">
      <c r="A11" t="s">
        <v>72</v>
      </c>
      <c r="B11" s="7">
        <v>45800</v>
      </c>
      <c r="C11" t="s">
        <v>584</v>
      </c>
      <c r="D11" t="s">
        <v>583</v>
      </c>
      <c r="E11" t="s">
        <v>17</v>
      </c>
      <c r="F11" t="s">
        <v>18</v>
      </c>
      <c r="G11" t="s">
        <v>19</v>
      </c>
      <c r="H11" t="s">
        <v>20</v>
      </c>
      <c r="I11" t="s">
        <v>74</v>
      </c>
      <c r="J11" t="s">
        <v>32</v>
      </c>
      <c r="K11" t="s">
        <v>33</v>
      </c>
      <c r="L11">
        <v>11</v>
      </c>
      <c r="M11">
        <v>91000</v>
      </c>
      <c r="N11">
        <v>0.05</v>
      </c>
      <c r="O11">
        <v>950950</v>
      </c>
      <c r="P11" t="s">
        <v>35</v>
      </c>
      <c r="Q11" t="s">
        <v>75</v>
      </c>
      <c r="R11" t="s">
        <v>615</v>
      </c>
    </row>
    <row r="12" spans="1:18" x14ac:dyDescent="0.3">
      <c r="A12" t="s">
        <v>351</v>
      </c>
      <c r="B12" s="7">
        <v>45917</v>
      </c>
      <c r="C12" t="s">
        <v>591</v>
      </c>
      <c r="D12" t="s">
        <v>586</v>
      </c>
      <c r="E12" t="s">
        <v>117</v>
      </c>
      <c r="F12" t="s">
        <v>68</v>
      </c>
      <c r="G12" t="s">
        <v>123</v>
      </c>
      <c r="H12" t="s">
        <v>225</v>
      </c>
      <c r="I12" t="s">
        <v>128</v>
      </c>
      <c r="J12" t="s">
        <v>22</v>
      </c>
      <c r="K12" t="s">
        <v>92</v>
      </c>
      <c r="L12">
        <v>3</v>
      </c>
      <c r="M12">
        <v>192000</v>
      </c>
      <c r="N12">
        <v>0.1</v>
      </c>
      <c r="O12">
        <v>518400</v>
      </c>
      <c r="P12" t="s">
        <v>53</v>
      </c>
      <c r="Q12" t="s">
        <v>75</v>
      </c>
      <c r="R12" t="s">
        <v>183</v>
      </c>
    </row>
    <row r="13" spans="1:18" x14ac:dyDescent="0.3">
      <c r="A13" t="s">
        <v>313</v>
      </c>
      <c r="B13" s="7">
        <v>45849</v>
      </c>
      <c r="C13" t="s">
        <v>585</v>
      </c>
      <c r="D13" t="s">
        <v>586</v>
      </c>
      <c r="E13" t="s">
        <v>135</v>
      </c>
      <c r="F13" t="s">
        <v>50</v>
      </c>
      <c r="G13" t="s">
        <v>107</v>
      </c>
      <c r="H13" t="s">
        <v>108</v>
      </c>
      <c r="I13" t="s">
        <v>160</v>
      </c>
      <c r="J13" t="s">
        <v>22</v>
      </c>
      <c r="K13" t="s">
        <v>23</v>
      </c>
      <c r="L13">
        <v>8</v>
      </c>
      <c r="M13">
        <v>76000</v>
      </c>
      <c r="N13">
        <v>0.1</v>
      </c>
      <c r="O13">
        <v>547200</v>
      </c>
      <c r="P13" t="s">
        <v>53</v>
      </c>
      <c r="Q13" t="s">
        <v>75</v>
      </c>
      <c r="R13" t="s">
        <v>183</v>
      </c>
    </row>
    <row r="14" spans="1:18" x14ac:dyDescent="0.3">
      <c r="A14" t="s">
        <v>306</v>
      </c>
      <c r="B14" s="7">
        <v>45920</v>
      </c>
      <c r="C14" t="s">
        <v>591</v>
      </c>
      <c r="D14" t="s">
        <v>586</v>
      </c>
      <c r="E14" t="s">
        <v>28</v>
      </c>
      <c r="F14" t="s">
        <v>29</v>
      </c>
      <c r="G14" t="s">
        <v>30</v>
      </c>
      <c r="H14" t="s">
        <v>20</v>
      </c>
      <c r="I14" t="s">
        <v>71</v>
      </c>
      <c r="J14" t="s">
        <v>32</v>
      </c>
      <c r="K14" t="s">
        <v>33</v>
      </c>
      <c r="L14">
        <v>4</v>
      </c>
      <c r="M14">
        <v>274000</v>
      </c>
      <c r="N14">
        <v>0</v>
      </c>
      <c r="O14">
        <v>1096000</v>
      </c>
      <c r="P14" t="s">
        <v>94</v>
      </c>
      <c r="Q14" t="s">
        <v>75</v>
      </c>
      <c r="R14" t="s">
        <v>61</v>
      </c>
    </row>
    <row r="15" spans="1:18" x14ac:dyDescent="0.3">
      <c r="A15" t="s">
        <v>290</v>
      </c>
      <c r="B15" s="7">
        <v>45716</v>
      </c>
      <c r="C15" t="s">
        <v>579</v>
      </c>
      <c r="D15" t="s">
        <v>580</v>
      </c>
      <c r="E15" t="s">
        <v>49</v>
      </c>
      <c r="F15" t="s">
        <v>50</v>
      </c>
      <c r="G15" t="s">
        <v>19</v>
      </c>
      <c r="H15" t="s">
        <v>20</v>
      </c>
      <c r="I15" t="s">
        <v>128</v>
      </c>
      <c r="J15" t="s">
        <v>22</v>
      </c>
      <c r="K15" t="s">
        <v>92</v>
      </c>
      <c r="L15">
        <v>1</v>
      </c>
      <c r="M15">
        <v>205000</v>
      </c>
      <c r="N15">
        <v>0.02</v>
      </c>
      <c r="O15">
        <v>200900</v>
      </c>
      <c r="P15" t="s">
        <v>53</v>
      </c>
      <c r="Q15" t="s">
        <v>75</v>
      </c>
      <c r="R15" t="s">
        <v>111</v>
      </c>
    </row>
    <row r="16" spans="1:18" x14ac:dyDescent="0.3">
      <c r="A16" t="s">
        <v>284</v>
      </c>
      <c r="B16" s="7">
        <v>45974</v>
      </c>
      <c r="C16" t="s">
        <v>577</v>
      </c>
      <c r="D16" t="s">
        <v>578</v>
      </c>
      <c r="E16" t="s">
        <v>17</v>
      </c>
      <c r="F16" t="s">
        <v>18</v>
      </c>
      <c r="G16" t="s">
        <v>19</v>
      </c>
      <c r="H16" t="s">
        <v>20</v>
      </c>
      <c r="I16" t="s">
        <v>620</v>
      </c>
      <c r="J16" t="s">
        <v>101</v>
      </c>
      <c r="K16" t="s">
        <v>102</v>
      </c>
      <c r="L16">
        <v>5</v>
      </c>
      <c r="M16">
        <v>109000</v>
      </c>
      <c r="N16">
        <v>0.05</v>
      </c>
      <c r="O16">
        <v>517750</v>
      </c>
      <c r="P16" t="s">
        <v>86</v>
      </c>
      <c r="Q16" t="s">
        <v>75</v>
      </c>
      <c r="R16" t="s">
        <v>183</v>
      </c>
    </row>
    <row r="17" spans="1:18" x14ac:dyDescent="0.3">
      <c r="A17" t="s">
        <v>275</v>
      </c>
      <c r="B17" s="7">
        <v>45774</v>
      </c>
      <c r="C17" t="s">
        <v>582</v>
      </c>
      <c r="D17" t="s">
        <v>583</v>
      </c>
      <c r="E17" t="s">
        <v>82</v>
      </c>
      <c r="F17" t="s">
        <v>83</v>
      </c>
      <c r="G17" t="s">
        <v>84</v>
      </c>
      <c r="H17" t="s">
        <v>114</v>
      </c>
      <c r="I17" t="s">
        <v>57</v>
      </c>
      <c r="J17" t="s">
        <v>32</v>
      </c>
      <c r="K17" t="s">
        <v>58</v>
      </c>
      <c r="L17">
        <v>13</v>
      </c>
      <c r="M17">
        <v>713000</v>
      </c>
      <c r="N17">
        <v>0</v>
      </c>
      <c r="O17">
        <v>9269000</v>
      </c>
      <c r="P17" t="s">
        <v>35</v>
      </c>
      <c r="Q17" t="s">
        <v>75</v>
      </c>
      <c r="R17" t="s">
        <v>61</v>
      </c>
    </row>
    <row r="18" spans="1:18" x14ac:dyDescent="0.3">
      <c r="A18" t="s">
        <v>266</v>
      </c>
      <c r="B18" s="7">
        <v>45798</v>
      </c>
      <c r="C18" t="s">
        <v>584</v>
      </c>
      <c r="D18" t="s">
        <v>583</v>
      </c>
      <c r="E18" t="s">
        <v>113</v>
      </c>
      <c r="F18" t="s">
        <v>29</v>
      </c>
      <c r="G18" t="s">
        <v>84</v>
      </c>
      <c r="H18" t="s">
        <v>114</v>
      </c>
      <c r="I18" t="s">
        <v>169</v>
      </c>
      <c r="J18" t="s">
        <v>22</v>
      </c>
      <c r="K18" t="s">
        <v>23</v>
      </c>
      <c r="L18">
        <v>11</v>
      </c>
      <c r="M18">
        <v>37000</v>
      </c>
      <c r="N18">
        <v>0.02</v>
      </c>
      <c r="O18">
        <v>398860</v>
      </c>
      <c r="P18" t="s">
        <v>35</v>
      </c>
      <c r="Q18" t="s">
        <v>75</v>
      </c>
      <c r="R18" t="s">
        <v>615</v>
      </c>
    </row>
    <row r="19" spans="1:18" x14ac:dyDescent="0.3">
      <c r="A19" t="s">
        <v>234</v>
      </c>
      <c r="B19" s="7">
        <v>45876</v>
      </c>
      <c r="C19" t="s">
        <v>588</v>
      </c>
      <c r="D19" t="s">
        <v>586</v>
      </c>
      <c r="E19" t="s">
        <v>56</v>
      </c>
      <c r="F19" t="s">
        <v>18</v>
      </c>
      <c r="G19" t="s">
        <v>42</v>
      </c>
      <c r="H19" t="s">
        <v>42</v>
      </c>
      <c r="I19" t="s">
        <v>235</v>
      </c>
      <c r="J19" t="s">
        <v>101</v>
      </c>
      <c r="K19" t="s">
        <v>156</v>
      </c>
      <c r="L19">
        <v>14</v>
      </c>
      <c r="M19">
        <v>187000</v>
      </c>
      <c r="N19">
        <v>0</v>
      </c>
      <c r="O19">
        <v>2618000</v>
      </c>
      <c r="P19" t="s">
        <v>86</v>
      </c>
      <c r="Q19" t="s">
        <v>75</v>
      </c>
      <c r="R19" t="s">
        <v>183</v>
      </c>
    </row>
    <row r="20" spans="1:18" x14ac:dyDescent="0.3">
      <c r="A20" t="s">
        <v>231</v>
      </c>
      <c r="B20" s="7">
        <v>45674</v>
      </c>
      <c r="C20" t="s">
        <v>587</v>
      </c>
      <c r="D20" t="s">
        <v>580</v>
      </c>
      <c r="E20" t="s">
        <v>39</v>
      </c>
      <c r="F20" t="s">
        <v>40</v>
      </c>
      <c r="G20" t="s">
        <v>42</v>
      </c>
      <c r="H20" t="s">
        <v>42</v>
      </c>
      <c r="I20" t="s">
        <v>71</v>
      </c>
      <c r="J20" t="s">
        <v>32</v>
      </c>
      <c r="K20" t="s">
        <v>33</v>
      </c>
      <c r="L20">
        <v>14</v>
      </c>
      <c r="M20">
        <v>335000</v>
      </c>
      <c r="N20">
        <v>0.02</v>
      </c>
      <c r="O20">
        <v>4596200</v>
      </c>
      <c r="P20" t="s">
        <v>35</v>
      </c>
      <c r="Q20" t="s">
        <v>75</v>
      </c>
      <c r="R20" t="s">
        <v>61</v>
      </c>
    </row>
    <row r="21" spans="1:18" x14ac:dyDescent="0.3">
      <c r="A21" t="s">
        <v>211</v>
      </c>
      <c r="B21" s="7">
        <v>45906</v>
      </c>
      <c r="C21" t="s">
        <v>591</v>
      </c>
      <c r="D21" t="s">
        <v>586</v>
      </c>
      <c r="E21" t="s">
        <v>154</v>
      </c>
      <c r="F21" t="s">
        <v>131</v>
      </c>
      <c r="G21" t="s">
        <v>19</v>
      </c>
      <c r="H21" t="s">
        <v>20</v>
      </c>
      <c r="I21" t="s">
        <v>64</v>
      </c>
      <c r="J21" t="s">
        <v>32</v>
      </c>
      <c r="K21" t="s">
        <v>65</v>
      </c>
      <c r="L21">
        <v>15</v>
      </c>
      <c r="M21">
        <v>467000</v>
      </c>
      <c r="N21">
        <v>0</v>
      </c>
      <c r="O21">
        <v>7005000</v>
      </c>
      <c r="P21" t="s">
        <v>79</v>
      </c>
      <c r="Q21" t="s">
        <v>75</v>
      </c>
      <c r="R21" t="s">
        <v>61</v>
      </c>
    </row>
    <row r="22" spans="1:18" x14ac:dyDescent="0.3">
      <c r="A22" t="s">
        <v>181</v>
      </c>
      <c r="B22" s="7">
        <v>45706</v>
      </c>
      <c r="C22" t="s">
        <v>579</v>
      </c>
      <c r="D22" t="s">
        <v>580</v>
      </c>
      <c r="E22" t="s">
        <v>28</v>
      </c>
      <c r="F22" t="s">
        <v>29</v>
      </c>
      <c r="G22" t="s">
        <v>30</v>
      </c>
      <c r="H22" t="s">
        <v>20</v>
      </c>
      <c r="I22" t="s">
        <v>235</v>
      </c>
      <c r="J22" t="s">
        <v>101</v>
      </c>
      <c r="K22" t="s">
        <v>156</v>
      </c>
      <c r="L22">
        <v>15</v>
      </c>
      <c r="M22">
        <v>170000</v>
      </c>
      <c r="N22">
        <v>0.02</v>
      </c>
      <c r="O22">
        <v>2499000</v>
      </c>
      <c r="P22" t="s">
        <v>94</v>
      </c>
      <c r="Q22" t="s">
        <v>75</v>
      </c>
      <c r="R22" t="s">
        <v>61</v>
      </c>
    </row>
    <row r="23" spans="1:18" x14ac:dyDescent="0.3">
      <c r="A23" t="s">
        <v>167</v>
      </c>
      <c r="B23" s="7">
        <v>45761</v>
      </c>
      <c r="C23" t="s">
        <v>582</v>
      </c>
      <c r="D23" t="s">
        <v>583</v>
      </c>
      <c r="E23" t="s">
        <v>82</v>
      </c>
      <c r="F23" t="s">
        <v>83</v>
      </c>
      <c r="G23" t="s">
        <v>84</v>
      </c>
      <c r="H23" t="s">
        <v>114</v>
      </c>
      <c r="I23" t="s">
        <v>169</v>
      </c>
      <c r="J23" t="s">
        <v>22</v>
      </c>
      <c r="K23" t="s">
        <v>23</v>
      </c>
      <c r="L23">
        <v>2</v>
      </c>
      <c r="M23">
        <v>41000</v>
      </c>
      <c r="N23">
        <v>0.02</v>
      </c>
      <c r="O23">
        <v>80360</v>
      </c>
      <c r="P23" t="s">
        <v>171</v>
      </c>
      <c r="Q23" t="s">
        <v>75</v>
      </c>
      <c r="R23" t="s">
        <v>183</v>
      </c>
    </row>
    <row r="24" spans="1:18" x14ac:dyDescent="0.3">
      <c r="A24" t="s">
        <v>153</v>
      </c>
      <c r="B24" s="7">
        <v>45773</v>
      </c>
      <c r="C24" t="s">
        <v>582</v>
      </c>
      <c r="D24" t="s">
        <v>583</v>
      </c>
      <c r="E24" t="s">
        <v>154</v>
      </c>
      <c r="F24" t="s">
        <v>131</v>
      </c>
      <c r="G24" t="s">
        <v>19</v>
      </c>
      <c r="H24" t="s">
        <v>20</v>
      </c>
      <c r="I24" t="s">
        <v>235</v>
      </c>
      <c r="J24" t="s">
        <v>101</v>
      </c>
      <c r="K24" t="s">
        <v>156</v>
      </c>
      <c r="L24">
        <v>6</v>
      </c>
      <c r="M24">
        <v>204000</v>
      </c>
      <c r="N24">
        <v>0.02</v>
      </c>
      <c r="O24">
        <v>99999999</v>
      </c>
      <c r="P24" t="s">
        <v>35</v>
      </c>
      <c r="Q24" t="s">
        <v>75</v>
      </c>
      <c r="R24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E431-7C2D-4B76-9C65-752A22BFE5E8}">
  <dimension ref="A3:F243"/>
  <sheetViews>
    <sheetView tabSelected="1" topLeftCell="A88" zoomScale="86" zoomScaleNormal="86" workbookViewId="0">
      <selection activeCell="U117" sqref="U117"/>
    </sheetView>
  </sheetViews>
  <sheetFormatPr defaultRowHeight="14.4" x14ac:dyDescent="0.3"/>
  <cols>
    <col min="1" max="1" width="12.5546875" bestFit="1" customWidth="1"/>
    <col min="2" max="3" width="19.44140625" bestFit="1" customWidth="1"/>
    <col min="4" max="4" width="24.44140625" bestFit="1" customWidth="1"/>
    <col min="5" max="5" width="4.5546875" bestFit="1" customWidth="1"/>
    <col min="6" max="6" width="14.5546875" bestFit="1" customWidth="1"/>
    <col min="7" max="11" width="4.5546875" bestFit="1" customWidth="1"/>
    <col min="12" max="17" width="5.5546875" bestFit="1" customWidth="1"/>
    <col min="18" max="18" width="6.5546875" bestFit="1" customWidth="1"/>
    <col min="19" max="19" width="10.77734375" bestFit="1" customWidth="1"/>
    <col min="20" max="261" width="9.88671875" bestFit="1" customWidth="1"/>
    <col min="262" max="262" width="10.77734375" bestFit="1" customWidth="1"/>
  </cols>
  <sheetData>
    <row r="3" spans="1:2" x14ac:dyDescent="0.3">
      <c r="A3" s="8" t="s">
        <v>625</v>
      </c>
      <c r="B3" t="s">
        <v>638</v>
      </c>
    </row>
    <row r="4" spans="1:2" x14ac:dyDescent="0.3">
      <c r="A4" s="9" t="s">
        <v>627</v>
      </c>
      <c r="B4" s="5">
        <v>51465860</v>
      </c>
    </row>
    <row r="5" spans="1:2" x14ac:dyDescent="0.3">
      <c r="A5" s="9" t="s">
        <v>628</v>
      </c>
      <c r="B5" s="5">
        <v>32552790</v>
      </c>
    </row>
    <row r="6" spans="1:2" x14ac:dyDescent="0.3">
      <c r="A6" s="9" t="s">
        <v>629</v>
      </c>
      <c r="B6" s="5">
        <v>19993550</v>
      </c>
    </row>
    <row r="7" spans="1:2" x14ac:dyDescent="0.3">
      <c r="A7" s="9" t="s">
        <v>630</v>
      </c>
      <c r="B7" s="5">
        <v>133078829</v>
      </c>
    </row>
    <row r="8" spans="1:2" x14ac:dyDescent="0.3">
      <c r="A8" s="9" t="s">
        <v>584</v>
      </c>
      <c r="B8" s="5">
        <v>29194180</v>
      </c>
    </row>
    <row r="9" spans="1:2" x14ac:dyDescent="0.3">
      <c r="A9" s="9" t="s">
        <v>631</v>
      </c>
      <c r="B9" s="5">
        <v>44062420</v>
      </c>
    </row>
    <row r="10" spans="1:2" x14ac:dyDescent="0.3">
      <c r="A10" s="9" t="s">
        <v>632</v>
      </c>
      <c r="B10" s="5">
        <v>17977790</v>
      </c>
    </row>
    <row r="11" spans="1:2" x14ac:dyDescent="0.3">
      <c r="A11" s="9" t="s">
        <v>633</v>
      </c>
      <c r="B11" s="5">
        <v>35941700</v>
      </c>
    </row>
    <row r="12" spans="1:2" x14ac:dyDescent="0.3">
      <c r="A12" s="9" t="s">
        <v>634</v>
      </c>
      <c r="B12" s="5">
        <v>24332090</v>
      </c>
    </row>
    <row r="13" spans="1:2" x14ac:dyDescent="0.3">
      <c r="A13" s="9" t="s">
        <v>635</v>
      </c>
      <c r="B13" s="5">
        <v>37593030</v>
      </c>
    </row>
    <row r="14" spans="1:2" x14ac:dyDescent="0.3">
      <c r="A14" s="9" t="s">
        <v>636</v>
      </c>
      <c r="B14" s="5">
        <v>35931630</v>
      </c>
    </row>
    <row r="15" spans="1:2" x14ac:dyDescent="0.3">
      <c r="A15" s="9" t="s">
        <v>637</v>
      </c>
      <c r="B15" s="5">
        <v>27702000</v>
      </c>
    </row>
    <row r="16" spans="1:2" x14ac:dyDescent="0.3">
      <c r="A16" s="9" t="s">
        <v>626</v>
      </c>
      <c r="B16" s="5">
        <v>489825869</v>
      </c>
    </row>
    <row r="18" spans="1:2" x14ac:dyDescent="0.3">
      <c r="A18" s="8" t="s">
        <v>625</v>
      </c>
      <c r="B18" t="s">
        <v>638</v>
      </c>
    </row>
    <row r="19" spans="1:2" x14ac:dyDescent="0.3">
      <c r="A19" s="9" t="s">
        <v>109</v>
      </c>
      <c r="B19" s="5">
        <v>21581950</v>
      </c>
    </row>
    <row r="20" spans="1:2" x14ac:dyDescent="0.3">
      <c r="A20" s="9" t="s">
        <v>208</v>
      </c>
      <c r="B20" s="5">
        <v>9531860</v>
      </c>
    </row>
    <row r="21" spans="1:2" x14ac:dyDescent="0.3">
      <c r="A21" s="9" t="s">
        <v>64</v>
      </c>
      <c r="B21" s="5">
        <v>81789330</v>
      </c>
    </row>
    <row r="22" spans="1:2" x14ac:dyDescent="0.3">
      <c r="A22" s="9" t="s">
        <v>178</v>
      </c>
      <c r="B22" s="5">
        <v>10844120</v>
      </c>
    </row>
    <row r="23" spans="1:2" x14ac:dyDescent="0.3">
      <c r="A23" s="9" t="s">
        <v>71</v>
      </c>
      <c r="B23" s="5">
        <v>20417910</v>
      </c>
    </row>
    <row r="24" spans="1:2" x14ac:dyDescent="0.3">
      <c r="A24" s="9" t="s">
        <v>128</v>
      </c>
      <c r="B24" s="5">
        <v>12670800</v>
      </c>
    </row>
    <row r="25" spans="1:2" x14ac:dyDescent="0.3">
      <c r="A25" s="9" t="s">
        <v>235</v>
      </c>
      <c r="B25" s="5">
        <v>119667419</v>
      </c>
    </row>
    <row r="26" spans="1:2" x14ac:dyDescent="0.3">
      <c r="A26" s="9" t="s">
        <v>21</v>
      </c>
      <c r="B26" s="5">
        <v>1385420</v>
      </c>
    </row>
    <row r="27" spans="1:2" x14ac:dyDescent="0.3">
      <c r="A27" s="9" t="s">
        <v>620</v>
      </c>
      <c r="B27" s="5">
        <v>7160110</v>
      </c>
    </row>
    <row r="28" spans="1:2" x14ac:dyDescent="0.3">
      <c r="A28" s="9" t="s">
        <v>295</v>
      </c>
      <c r="B28" s="5">
        <v>23912340</v>
      </c>
    </row>
    <row r="29" spans="1:2" x14ac:dyDescent="0.3">
      <c r="A29" s="9" t="s">
        <v>144</v>
      </c>
      <c r="B29" s="5">
        <v>31262140</v>
      </c>
    </row>
    <row r="30" spans="1:2" x14ac:dyDescent="0.3">
      <c r="A30" s="9" t="s">
        <v>74</v>
      </c>
      <c r="B30" s="5">
        <v>9894840</v>
      </c>
    </row>
    <row r="31" spans="1:2" x14ac:dyDescent="0.3">
      <c r="A31" s="9" t="s">
        <v>204</v>
      </c>
      <c r="B31" s="5">
        <v>17558110</v>
      </c>
    </row>
    <row r="32" spans="1:2" x14ac:dyDescent="0.3">
      <c r="A32" s="9" t="s">
        <v>169</v>
      </c>
      <c r="B32" s="5">
        <v>3523320</v>
      </c>
    </row>
    <row r="33" spans="1:2" x14ac:dyDescent="0.3">
      <c r="A33" s="9" t="s">
        <v>160</v>
      </c>
      <c r="B33" s="5">
        <v>4668280</v>
      </c>
    </row>
    <row r="34" spans="1:2" x14ac:dyDescent="0.3">
      <c r="A34" s="9" t="s">
        <v>57</v>
      </c>
      <c r="B34" s="5">
        <v>68401720</v>
      </c>
    </row>
    <row r="35" spans="1:2" x14ac:dyDescent="0.3">
      <c r="A35" s="9" t="s">
        <v>137</v>
      </c>
      <c r="B35" s="5">
        <v>3817600</v>
      </c>
    </row>
    <row r="36" spans="1:2" x14ac:dyDescent="0.3">
      <c r="A36" s="9" t="s">
        <v>125</v>
      </c>
      <c r="B36" s="5">
        <v>41738600</v>
      </c>
    </row>
    <row r="37" spans="1:2" x14ac:dyDescent="0.3">
      <c r="A37" s="9" t="s">
        <v>626</v>
      </c>
      <c r="B37" s="5">
        <v>489825869</v>
      </c>
    </row>
    <row r="39" spans="1:2" x14ac:dyDescent="0.3">
      <c r="A39" s="8" t="s">
        <v>625</v>
      </c>
      <c r="B39" t="s">
        <v>638</v>
      </c>
    </row>
    <row r="40" spans="1:2" x14ac:dyDescent="0.3">
      <c r="A40" s="9" t="s">
        <v>580</v>
      </c>
      <c r="B40" s="5">
        <v>104012200</v>
      </c>
    </row>
    <row r="41" spans="1:2" x14ac:dyDescent="0.3">
      <c r="A41" s="9" t="s">
        <v>583</v>
      </c>
      <c r="B41" s="5">
        <v>206335429</v>
      </c>
    </row>
    <row r="42" spans="1:2" x14ac:dyDescent="0.3">
      <c r="A42" s="9" t="s">
        <v>586</v>
      </c>
      <c r="B42" s="5">
        <v>78251580</v>
      </c>
    </row>
    <row r="43" spans="1:2" x14ac:dyDescent="0.3">
      <c r="A43" s="9" t="s">
        <v>578</v>
      </c>
      <c r="B43" s="5">
        <v>101226660</v>
      </c>
    </row>
    <row r="44" spans="1:2" x14ac:dyDescent="0.3">
      <c r="A44" s="9" t="s">
        <v>626</v>
      </c>
      <c r="B44" s="5">
        <v>489825869</v>
      </c>
    </row>
    <row r="47" spans="1:2" x14ac:dyDescent="0.3">
      <c r="A47" s="8" t="s">
        <v>625</v>
      </c>
      <c r="B47" t="s">
        <v>638</v>
      </c>
    </row>
    <row r="48" spans="1:2" x14ac:dyDescent="0.3">
      <c r="A48" s="9" t="s">
        <v>63</v>
      </c>
      <c r="B48" s="5">
        <v>8542870</v>
      </c>
    </row>
    <row r="49" spans="1:2" x14ac:dyDescent="0.3">
      <c r="A49" s="9" t="s">
        <v>117</v>
      </c>
      <c r="B49" s="5">
        <v>13047400</v>
      </c>
    </row>
    <row r="50" spans="1:2" x14ac:dyDescent="0.3">
      <c r="A50" s="9" t="s">
        <v>28</v>
      </c>
      <c r="B50" s="5">
        <v>18946250</v>
      </c>
    </row>
    <row r="51" spans="1:2" x14ac:dyDescent="0.3">
      <c r="A51" s="9" t="s">
        <v>67</v>
      </c>
      <c r="B51" s="5">
        <v>17025910</v>
      </c>
    </row>
    <row r="52" spans="1:2" x14ac:dyDescent="0.3">
      <c r="A52" s="9" t="s">
        <v>159</v>
      </c>
      <c r="B52" s="5">
        <v>14065590</v>
      </c>
    </row>
    <row r="53" spans="1:2" x14ac:dyDescent="0.3">
      <c r="A53" s="9" t="s">
        <v>56</v>
      </c>
      <c r="B53" s="5">
        <v>22613050</v>
      </c>
    </row>
    <row r="54" spans="1:2" x14ac:dyDescent="0.3">
      <c r="A54" s="9" t="s">
        <v>82</v>
      </c>
      <c r="B54" s="5">
        <v>38811200</v>
      </c>
    </row>
    <row r="55" spans="1:2" x14ac:dyDescent="0.3">
      <c r="A55" s="9" t="s">
        <v>147</v>
      </c>
      <c r="B55" s="5">
        <v>5711110</v>
      </c>
    </row>
    <row r="56" spans="1:2" x14ac:dyDescent="0.3">
      <c r="A56" s="9" t="s">
        <v>89</v>
      </c>
      <c r="B56" s="5">
        <v>19335030</v>
      </c>
    </row>
    <row r="57" spans="1:2" x14ac:dyDescent="0.3">
      <c r="A57" s="9" t="s">
        <v>113</v>
      </c>
      <c r="B57" s="5">
        <v>11437120</v>
      </c>
    </row>
    <row r="58" spans="1:2" x14ac:dyDescent="0.3">
      <c r="A58" s="9" t="s">
        <v>106</v>
      </c>
      <c r="B58" s="5">
        <v>11587190</v>
      </c>
    </row>
    <row r="59" spans="1:2" x14ac:dyDescent="0.3">
      <c r="A59" s="9" t="s">
        <v>130</v>
      </c>
      <c r="B59" s="5">
        <v>15494770</v>
      </c>
    </row>
    <row r="60" spans="1:2" x14ac:dyDescent="0.3">
      <c r="A60" s="9" t="s">
        <v>287</v>
      </c>
      <c r="B60" s="5">
        <v>6688660</v>
      </c>
    </row>
    <row r="61" spans="1:2" x14ac:dyDescent="0.3">
      <c r="A61" s="9" t="s">
        <v>135</v>
      </c>
      <c r="B61" s="5">
        <v>23763250</v>
      </c>
    </row>
    <row r="62" spans="1:2" x14ac:dyDescent="0.3">
      <c r="A62" s="9" t="s">
        <v>17</v>
      </c>
      <c r="B62" s="5">
        <v>23463280</v>
      </c>
    </row>
    <row r="63" spans="1:2" x14ac:dyDescent="0.3">
      <c r="A63" s="9" t="s">
        <v>49</v>
      </c>
      <c r="B63" s="5">
        <v>16083150</v>
      </c>
    </row>
    <row r="64" spans="1:2" x14ac:dyDescent="0.3">
      <c r="A64" s="9" t="s">
        <v>214</v>
      </c>
      <c r="B64" s="5">
        <v>24599660</v>
      </c>
    </row>
    <row r="65" spans="1:2" x14ac:dyDescent="0.3">
      <c r="A65" s="9" t="s">
        <v>154</v>
      </c>
      <c r="B65" s="5">
        <v>120718309</v>
      </c>
    </row>
    <row r="66" spans="1:2" x14ac:dyDescent="0.3">
      <c r="A66" s="9" t="s">
        <v>621</v>
      </c>
      <c r="B66" s="5">
        <v>19727500</v>
      </c>
    </row>
    <row r="67" spans="1:2" x14ac:dyDescent="0.3">
      <c r="A67" s="9" t="s">
        <v>190</v>
      </c>
      <c r="B67" s="5">
        <v>36714830</v>
      </c>
    </row>
    <row r="68" spans="1:2" x14ac:dyDescent="0.3">
      <c r="A68" s="9" t="s">
        <v>39</v>
      </c>
      <c r="B68" s="5">
        <v>21449740</v>
      </c>
    </row>
    <row r="69" spans="1:2" x14ac:dyDescent="0.3">
      <c r="A69" s="9" t="s">
        <v>626</v>
      </c>
      <c r="B69" s="5">
        <v>489825869</v>
      </c>
    </row>
    <row r="72" spans="1:2" x14ac:dyDescent="0.3">
      <c r="A72" s="8" t="s">
        <v>625</v>
      </c>
      <c r="B72" t="s">
        <v>638</v>
      </c>
    </row>
    <row r="73" spans="1:2" x14ac:dyDescent="0.3">
      <c r="A73" s="9" t="s">
        <v>138</v>
      </c>
      <c r="B73" s="5">
        <v>3817600</v>
      </c>
    </row>
    <row r="74" spans="1:2" x14ac:dyDescent="0.3">
      <c r="A74" s="9" t="s">
        <v>32</v>
      </c>
      <c r="B74" s="5">
        <v>298998830</v>
      </c>
    </row>
    <row r="75" spans="1:2" x14ac:dyDescent="0.3">
      <c r="A75" s="9" t="s">
        <v>22</v>
      </c>
      <c r="B75" s="5">
        <v>22247820</v>
      </c>
    </row>
    <row r="76" spans="1:2" x14ac:dyDescent="0.3">
      <c r="A76" s="9" t="s">
        <v>209</v>
      </c>
      <c r="B76" s="5">
        <v>9531860</v>
      </c>
    </row>
    <row r="77" spans="1:2" x14ac:dyDescent="0.3">
      <c r="A77" s="9" t="s">
        <v>101</v>
      </c>
      <c r="B77" s="5">
        <v>155229759</v>
      </c>
    </row>
    <row r="78" spans="1:2" x14ac:dyDescent="0.3">
      <c r="A78" s="9" t="s">
        <v>626</v>
      </c>
      <c r="B78" s="5">
        <v>489825869</v>
      </c>
    </row>
    <row r="91" spans="1:2" x14ac:dyDescent="0.3">
      <c r="A91" s="8" t="s">
        <v>625</v>
      </c>
      <c r="B91" t="s">
        <v>638</v>
      </c>
    </row>
    <row r="92" spans="1:2" x14ac:dyDescent="0.3">
      <c r="A92" s="9" t="s">
        <v>109</v>
      </c>
      <c r="B92" s="5">
        <v>21581950</v>
      </c>
    </row>
    <row r="93" spans="1:2" x14ac:dyDescent="0.3">
      <c r="A93" s="9" t="s">
        <v>208</v>
      </c>
      <c r="B93" s="5">
        <v>9531860</v>
      </c>
    </row>
    <row r="94" spans="1:2" x14ac:dyDescent="0.3">
      <c r="A94" s="9" t="s">
        <v>64</v>
      </c>
      <c r="B94" s="5">
        <v>81789330</v>
      </c>
    </row>
    <row r="95" spans="1:2" x14ac:dyDescent="0.3">
      <c r="A95" s="9" t="s">
        <v>178</v>
      </c>
      <c r="B95" s="5">
        <v>10844120</v>
      </c>
    </row>
    <row r="96" spans="1:2" x14ac:dyDescent="0.3">
      <c r="A96" s="9" t="s">
        <v>71</v>
      </c>
      <c r="B96" s="5">
        <v>20417910</v>
      </c>
    </row>
    <row r="97" spans="1:6" x14ac:dyDescent="0.3">
      <c r="A97" s="9" t="s">
        <v>128</v>
      </c>
      <c r="B97" s="5">
        <v>12670800</v>
      </c>
      <c r="F97" s="5">
        <f>SUM(B110)</f>
        <v>489825869</v>
      </c>
    </row>
    <row r="98" spans="1:6" x14ac:dyDescent="0.3">
      <c r="A98" s="9" t="s">
        <v>235</v>
      </c>
      <c r="B98" s="5">
        <v>119667419</v>
      </c>
    </row>
    <row r="99" spans="1:6" x14ac:dyDescent="0.3">
      <c r="A99" s="9" t="s">
        <v>21</v>
      </c>
      <c r="B99" s="5">
        <v>1385420</v>
      </c>
      <c r="F99" s="3" t="s">
        <v>652</v>
      </c>
    </row>
    <row r="100" spans="1:6" x14ac:dyDescent="0.3">
      <c r="A100" s="9" t="s">
        <v>620</v>
      </c>
      <c r="B100" s="5">
        <v>7160110</v>
      </c>
    </row>
    <row r="101" spans="1:6" x14ac:dyDescent="0.3">
      <c r="A101" s="9" t="s">
        <v>295</v>
      </c>
      <c r="B101" s="5">
        <v>23912340</v>
      </c>
    </row>
    <row r="102" spans="1:6" x14ac:dyDescent="0.3">
      <c r="A102" s="9" t="s">
        <v>144</v>
      </c>
      <c r="B102" s="5">
        <v>31262140</v>
      </c>
    </row>
    <row r="103" spans="1:6" x14ac:dyDescent="0.3">
      <c r="A103" s="9" t="s">
        <v>74</v>
      </c>
      <c r="B103" s="5">
        <v>9894840</v>
      </c>
    </row>
    <row r="104" spans="1:6" x14ac:dyDescent="0.3">
      <c r="A104" s="9" t="s">
        <v>204</v>
      </c>
      <c r="B104" s="5">
        <v>17558110</v>
      </c>
      <c r="F104" s="3" t="s">
        <v>653</v>
      </c>
    </row>
    <row r="105" spans="1:6" x14ac:dyDescent="0.3">
      <c r="A105" s="9" t="s">
        <v>169</v>
      </c>
      <c r="B105" s="5">
        <v>3523320</v>
      </c>
    </row>
    <row r="106" spans="1:6" x14ac:dyDescent="0.3">
      <c r="A106" s="9" t="s">
        <v>160</v>
      </c>
      <c r="B106" s="5">
        <v>4668280</v>
      </c>
    </row>
    <row r="107" spans="1:6" x14ac:dyDescent="0.3">
      <c r="A107" s="9" t="s">
        <v>57</v>
      </c>
      <c r="B107" s="5">
        <v>68401720</v>
      </c>
    </row>
    <row r="108" spans="1:6" x14ac:dyDescent="0.3">
      <c r="A108" s="9" t="s">
        <v>137</v>
      </c>
      <c r="B108" s="5">
        <v>3817600</v>
      </c>
    </row>
    <row r="109" spans="1:6" x14ac:dyDescent="0.3">
      <c r="A109" s="9" t="s">
        <v>125</v>
      </c>
      <c r="B109" s="5">
        <v>41738600</v>
      </c>
      <c r="F109" s="3" t="s">
        <v>654</v>
      </c>
    </row>
    <row r="110" spans="1:6" x14ac:dyDescent="0.3">
      <c r="A110" s="9" t="s">
        <v>626</v>
      </c>
      <c r="B110" s="5">
        <v>489825869</v>
      </c>
    </row>
    <row r="113" spans="1:6" x14ac:dyDescent="0.3">
      <c r="A113" s="11"/>
    </row>
    <row r="114" spans="1:6" x14ac:dyDescent="0.3">
      <c r="F114" s="3" t="s">
        <v>655</v>
      </c>
    </row>
    <row r="115" spans="1:6" x14ac:dyDescent="0.3">
      <c r="B115" s="5">
        <f>B16/B179</f>
        <v>1883945.65</v>
      </c>
    </row>
    <row r="127" spans="1:6" x14ac:dyDescent="0.3">
      <c r="A127" s="8" t="s">
        <v>625</v>
      </c>
      <c r="B127" t="s">
        <v>638</v>
      </c>
    </row>
    <row r="128" spans="1:6" x14ac:dyDescent="0.3">
      <c r="A128" s="9" t="s">
        <v>75</v>
      </c>
      <c r="B128" s="5">
        <v>139574029</v>
      </c>
    </row>
    <row r="129" spans="1:2" x14ac:dyDescent="0.3">
      <c r="A129" s="9" t="s">
        <v>95</v>
      </c>
      <c r="B129" s="5">
        <v>39960430</v>
      </c>
    </row>
    <row r="130" spans="1:2" x14ac:dyDescent="0.3">
      <c r="A130" s="9" t="s">
        <v>175</v>
      </c>
      <c r="B130" s="5">
        <v>47652900</v>
      </c>
    </row>
    <row r="131" spans="1:2" x14ac:dyDescent="0.3">
      <c r="A131" s="9" t="s">
        <v>145</v>
      </c>
      <c r="B131" s="5">
        <v>54343190</v>
      </c>
    </row>
    <row r="132" spans="1:2" x14ac:dyDescent="0.3">
      <c r="A132" s="9" t="s">
        <v>60</v>
      </c>
      <c r="B132" s="5">
        <v>55878320</v>
      </c>
    </row>
    <row r="133" spans="1:2" x14ac:dyDescent="0.3">
      <c r="A133" s="9" t="s">
        <v>46</v>
      </c>
      <c r="B133" s="5">
        <v>69125320</v>
      </c>
    </row>
    <row r="134" spans="1:2" x14ac:dyDescent="0.3">
      <c r="A134" s="9" t="s">
        <v>36</v>
      </c>
      <c r="B134" s="5">
        <v>33085950</v>
      </c>
    </row>
    <row r="135" spans="1:2" x14ac:dyDescent="0.3">
      <c r="A135" s="9" t="s">
        <v>621</v>
      </c>
      <c r="B135" s="5">
        <v>2236540</v>
      </c>
    </row>
    <row r="136" spans="1:2" x14ac:dyDescent="0.3">
      <c r="A136" s="9" t="s">
        <v>25</v>
      </c>
      <c r="B136" s="5">
        <v>47969190</v>
      </c>
    </row>
    <row r="137" spans="1:2" x14ac:dyDescent="0.3">
      <c r="A137" s="9" t="s">
        <v>626</v>
      </c>
      <c r="B137" s="5">
        <v>489825869</v>
      </c>
    </row>
    <row r="139" spans="1:2" x14ac:dyDescent="0.3">
      <c r="A139" s="8" t="s">
        <v>625</v>
      </c>
      <c r="B139" t="s">
        <v>638</v>
      </c>
    </row>
    <row r="140" spans="1:2" x14ac:dyDescent="0.3">
      <c r="A140" s="9" t="s">
        <v>26</v>
      </c>
      <c r="B140" s="12">
        <v>0</v>
      </c>
    </row>
    <row r="141" spans="1:2" x14ac:dyDescent="0.3">
      <c r="A141" s="9" t="s">
        <v>61</v>
      </c>
      <c r="B141" s="12">
        <v>0.61136158368148574</v>
      </c>
    </row>
    <row r="142" spans="1:2" x14ac:dyDescent="0.3">
      <c r="A142" s="9" t="s">
        <v>111</v>
      </c>
      <c r="B142" s="12">
        <v>7.0097522758643852E-2</v>
      </c>
    </row>
    <row r="143" spans="1:2" x14ac:dyDescent="0.3">
      <c r="A143" s="9" t="s">
        <v>87</v>
      </c>
      <c r="B143" s="12">
        <v>0.14180912931734113</v>
      </c>
    </row>
    <row r="144" spans="1:2" x14ac:dyDescent="0.3">
      <c r="A144" s="9" t="s">
        <v>183</v>
      </c>
      <c r="B144" s="12">
        <v>0.1767317642425292</v>
      </c>
    </row>
    <row r="145" spans="1:2" x14ac:dyDescent="0.3">
      <c r="A145" s="9" t="s">
        <v>626</v>
      </c>
      <c r="B145" s="12">
        <v>1</v>
      </c>
    </row>
    <row r="148" spans="1:2" x14ac:dyDescent="0.3">
      <c r="A148" s="8" t="s">
        <v>625</v>
      </c>
      <c r="B148" t="s">
        <v>647</v>
      </c>
    </row>
    <row r="149" spans="1:2" x14ac:dyDescent="0.3">
      <c r="A149" s="9" t="s">
        <v>138</v>
      </c>
      <c r="B149" s="4">
        <v>2.944444444444444E-2</v>
      </c>
    </row>
    <row r="150" spans="1:2" x14ac:dyDescent="0.3">
      <c r="A150" s="9" t="s">
        <v>32</v>
      </c>
      <c r="B150" s="4">
        <v>4.2649572649572601E-2</v>
      </c>
    </row>
    <row r="151" spans="1:2" x14ac:dyDescent="0.3">
      <c r="A151" s="9" t="s">
        <v>22</v>
      </c>
      <c r="B151" s="4">
        <v>3.7500000000000019E-2</v>
      </c>
    </row>
    <row r="152" spans="1:2" x14ac:dyDescent="0.3">
      <c r="A152" s="9" t="s">
        <v>209</v>
      </c>
      <c r="B152" s="4">
        <v>2.1333333333333333E-2</v>
      </c>
    </row>
    <row r="153" spans="1:2" x14ac:dyDescent="0.3">
      <c r="A153" s="9" t="s">
        <v>101</v>
      </c>
      <c r="B153" s="4">
        <v>2.951612903225808E-2</v>
      </c>
    </row>
    <row r="154" spans="1:2" x14ac:dyDescent="0.3">
      <c r="A154" s="9" t="s">
        <v>626</v>
      </c>
      <c r="B154" s="4">
        <v>3.6423076923076829E-2</v>
      </c>
    </row>
    <row r="157" spans="1:2" x14ac:dyDescent="0.3">
      <c r="A157" s="8" t="s">
        <v>625</v>
      </c>
      <c r="B157" t="s">
        <v>648</v>
      </c>
    </row>
    <row r="158" spans="1:2" x14ac:dyDescent="0.3">
      <c r="A158" s="9" t="s">
        <v>63</v>
      </c>
      <c r="B158" s="10">
        <v>11</v>
      </c>
    </row>
    <row r="159" spans="1:2" x14ac:dyDescent="0.3">
      <c r="A159" s="9" t="s">
        <v>117</v>
      </c>
      <c r="B159" s="10">
        <v>13</v>
      </c>
    </row>
    <row r="160" spans="1:2" x14ac:dyDescent="0.3">
      <c r="A160" s="9" t="s">
        <v>28</v>
      </c>
      <c r="B160" s="10">
        <v>13</v>
      </c>
    </row>
    <row r="161" spans="1:2" x14ac:dyDescent="0.3">
      <c r="A161" s="9" t="s">
        <v>67</v>
      </c>
      <c r="B161" s="10">
        <v>13</v>
      </c>
    </row>
    <row r="162" spans="1:2" x14ac:dyDescent="0.3">
      <c r="A162" s="9" t="s">
        <v>159</v>
      </c>
      <c r="B162" s="10">
        <v>15</v>
      </c>
    </row>
    <row r="163" spans="1:2" x14ac:dyDescent="0.3">
      <c r="A163" s="9" t="s">
        <v>56</v>
      </c>
      <c r="B163" s="10">
        <v>11</v>
      </c>
    </row>
    <row r="164" spans="1:2" x14ac:dyDescent="0.3">
      <c r="A164" s="9" t="s">
        <v>82</v>
      </c>
      <c r="B164" s="10">
        <v>20</v>
      </c>
    </row>
    <row r="165" spans="1:2" x14ac:dyDescent="0.3">
      <c r="A165" s="9" t="s">
        <v>147</v>
      </c>
      <c r="B165" s="10">
        <v>11</v>
      </c>
    </row>
    <row r="166" spans="1:2" x14ac:dyDescent="0.3">
      <c r="A166" s="9" t="s">
        <v>89</v>
      </c>
      <c r="B166" s="10">
        <v>13</v>
      </c>
    </row>
    <row r="167" spans="1:2" x14ac:dyDescent="0.3">
      <c r="A167" s="9" t="s">
        <v>113</v>
      </c>
      <c r="B167" s="10">
        <v>20</v>
      </c>
    </row>
    <row r="168" spans="1:2" x14ac:dyDescent="0.3">
      <c r="A168" s="9" t="s">
        <v>106</v>
      </c>
      <c r="B168" s="10">
        <v>12</v>
      </c>
    </row>
    <row r="169" spans="1:2" x14ac:dyDescent="0.3">
      <c r="A169" s="9" t="s">
        <v>130</v>
      </c>
      <c r="B169" s="10">
        <v>9</v>
      </c>
    </row>
    <row r="170" spans="1:2" x14ac:dyDescent="0.3">
      <c r="A170" s="9" t="s">
        <v>287</v>
      </c>
      <c r="B170" s="10">
        <v>8</v>
      </c>
    </row>
    <row r="171" spans="1:2" x14ac:dyDescent="0.3">
      <c r="A171" s="9" t="s">
        <v>135</v>
      </c>
      <c r="B171" s="10">
        <v>12</v>
      </c>
    </row>
    <row r="172" spans="1:2" x14ac:dyDescent="0.3">
      <c r="A172" s="9" t="s">
        <v>17</v>
      </c>
      <c r="B172" s="10">
        <v>16</v>
      </c>
    </row>
    <row r="173" spans="1:2" x14ac:dyDescent="0.3">
      <c r="A173" s="9" t="s">
        <v>49</v>
      </c>
      <c r="B173" s="10">
        <v>8</v>
      </c>
    </row>
    <row r="174" spans="1:2" x14ac:dyDescent="0.3">
      <c r="A174" s="9" t="s">
        <v>214</v>
      </c>
      <c r="B174" s="10">
        <v>12</v>
      </c>
    </row>
    <row r="175" spans="1:2" x14ac:dyDescent="0.3">
      <c r="A175" s="9" t="s">
        <v>154</v>
      </c>
      <c r="B175" s="10">
        <v>12</v>
      </c>
    </row>
    <row r="176" spans="1:2" x14ac:dyDescent="0.3">
      <c r="A176" s="9" t="s">
        <v>621</v>
      </c>
      <c r="B176" s="10">
        <v>6</v>
      </c>
    </row>
    <row r="177" spans="1:2" x14ac:dyDescent="0.3">
      <c r="A177" s="9" t="s">
        <v>190</v>
      </c>
      <c r="B177" s="10">
        <v>11</v>
      </c>
    </row>
    <row r="178" spans="1:2" x14ac:dyDescent="0.3">
      <c r="A178" s="9" t="s">
        <v>39</v>
      </c>
      <c r="B178" s="10">
        <v>14</v>
      </c>
    </row>
    <row r="179" spans="1:2" x14ac:dyDescent="0.3">
      <c r="A179" s="9" t="s">
        <v>626</v>
      </c>
      <c r="B179" s="10">
        <v>260</v>
      </c>
    </row>
    <row r="182" spans="1:2" x14ac:dyDescent="0.3">
      <c r="A182" s="8" t="s">
        <v>625</v>
      </c>
      <c r="B182" t="s">
        <v>649</v>
      </c>
    </row>
    <row r="183" spans="1:2" x14ac:dyDescent="0.3">
      <c r="A183" s="9" t="s">
        <v>109</v>
      </c>
      <c r="B183" s="5">
        <v>147823.5294117647</v>
      </c>
    </row>
    <row r="184" spans="1:2" x14ac:dyDescent="0.3">
      <c r="A184" s="9" t="s">
        <v>208</v>
      </c>
      <c r="B184" s="5">
        <v>98066.666666666672</v>
      </c>
    </row>
    <row r="185" spans="1:2" x14ac:dyDescent="0.3">
      <c r="A185" s="9" t="s">
        <v>64</v>
      </c>
      <c r="B185" s="5">
        <v>534047.61904761905</v>
      </c>
    </row>
    <row r="186" spans="1:2" x14ac:dyDescent="0.3">
      <c r="A186" s="9" t="s">
        <v>178</v>
      </c>
      <c r="B186" s="5">
        <v>96210.526315789481</v>
      </c>
    </row>
    <row r="187" spans="1:2" x14ac:dyDescent="0.3">
      <c r="A187" s="9" t="s">
        <v>71</v>
      </c>
      <c r="B187" s="5">
        <v>891090.90909090906</v>
      </c>
    </row>
    <row r="188" spans="1:2" x14ac:dyDescent="0.3">
      <c r="A188" s="9" t="s">
        <v>128</v>
      </c>
      <c r="B188" s="5">
        <v>198727.27272727274</v>
      </c>
    </row>
    <row r="189" spans="1:2" x14ac:dyDescent="0.3">
      <c r="A189" s="9" t="s">
        <v>235</v>
      </c>
      <c r="B189" s="5">
        <v>188642.85714285713</v>
      </c>
    </row>
    <row r="190" spans="1:2" x14ac:dyDescent="0.3">
      <c r="A190" s="9" t="s">
        <v>21</v>
      </c>
      <c r="B190" s="5">
        <v>18666.666666666668</v>
      </c>
    </row>
    <row r="191" spans="1:2" x14ac:dyDescent="0.3">
      <c r="A191" s="9" t="s">
        <v>620</v>
      </c>
      <c r="B191" s="5">
        <v>121071.42857142857</v>
      </c>
    </row>
    <row r="192" spans="1:2" x14ac:dyDescent="0.3">
      <c r="A192" s="9" t="s">
        <v>295</v>
      </c>
      <c r="B192" s="5">
        <v>400250</v>
      </c>
    </row>
    <row r="193" spans="1:2" x14ac:dyDescent="0.3">
      <c r="A193" s="9" t="s">
        <v>144</v>
      </c>
      <c r="B193" s="5">
        <v>234916.66666666666</v>
      </c>
    </row>
    <row r="194" spans="1:2" x14ac:dyDescent="0.3">
      <c r="A194" s="9" t="s">
        <v>74</v>
      </c>
      <c r="B194" s="5">
        <v>85615.38461538461</v>
      </c>
    </row>
    <row r="195" spans="1:2" x14ac:dyDescent="0.3">
      <c r="A195" s="9" t="s">
        <v>204</v>
      </c>
      <c r="B195" s="5">
        <v>154333.33333333334</v>
      </c>
    </row>
    <row r="196" spans="1:2" x14ac:dyDescent="0.3">
      <c r="A196" s="9" t="s">
        <v>169</v>
      </c>
      <c r="B196" s="5">
        <v>42071.428571428572</v>
      </c>
    </row>
    <row r="197" spans="1:2" x14ac:dyDescent="0.3">
      <c r="A197" s="9" t="s">
        <v>160</v>
      </c>
      <c r="B197" s="5">
        <v>76363.636363636368</v>
      </c>
    </row>
    <row r="198" spans="1:2" x14ac:dyDescent="0.3">
      <c r="A198" s="9" t="s">
        <v>57</v>
      </c>
      <c r="B198" s="5">
        <v>682230.76923076925</v>
      </c>
    </row>
    <row r="199" spans="1:2" x14ac:dyDescent="0.3">
      <c r="A199" s="9" t="s">
        <v>137</v>
      </c>
      <c r="B199" s="5">
        <v>27722.222222222223</v>
      </c>
    </row>
    <row r="200" spans="1:2" x14ac:dyDescent="0.3">
      <c r="A200" s="9" t="s">
        <v>125</v>
      </c>
      <c r="B200" s="5">
        <v>363500</v>
      </c>
    </row>
    <row r="201" spans="1:2" x14ac:dyDescent="0.3">
      <c r="A201" s="9" t="s">
        <v>626</v>
      </c>
      <c r="B201" s="5">
        <v>238326.92307692306</v>
      </c>
    </row>
    <row r="203" spans="1:2" x14ac:dyDescent="0.3">
      <c r="A203" s="8" t="s">
        <v>625</v>
      </c>
      <c r="B203" t="s">
        <v>638</v>
      </c>
    </row>
    <row r="204" spans="1:2" x14ac:dyDescent="0.3">
      <c r="A204" s="9" t="s">
        <v>20</v>
      </c>
      <c r="B204" s="5">
        <v>259986859</v>
      </c>
    </row>
    <row r="205" spans="1:2" x14ac:dyDescent="0.3">
      <c r="A205" s="9" t="s">
        <v>42</v>
      </c>
      <c r="B205" s="5">
        <v>94390240</v>
      </c>
    </row>
    <row r="206" spans="1:2" x14ac:dyDescent="0.3">
      <c r="A206" s="9" t="s">
        <v>114</v>
      </c>
      <c r="B206" s="5">
        <v>64313910</v>
      </c>
    </row>
    <row r="207" spans="1:2" x14ac:dyDescent="0.3">
      <c r="A207" s="9" t="s">
        <v>108</v>
      </c>
      <c r="B207" s="5">
        <v>35350440</v>
      </c>
    </row>
    <row r="208" spans="1:2" x14ac:dyDescent="0.3">
      <c r="A208" s="9" t="s">
        <v>70</v>
      </c>
      <c r="B208" s="5">
        <v>17025910</v>
      </c>
    </row>
    <row r="209" spans="1:2" x14ac:dyDescent="0.3">
      <c r="A209" s="9" t="s">
        <v>225</v>
      </c>
      <c r="B209" s="5">
        <v>13047400</v>
      </c>
    </row>
    <row r="210" spans="1:2" x14ac:dyDescent="0.3">
      <c r="A210" s="9" t="s">
        <v>149</v>
      </c>
      <c r="B210" s="5">
        <v>5711110</v>
      </c>
    </row>
    <row r="211" spans="1:2" x14ac:dyDescent="0.3">
      <c r="A211" s="9" t="s">
        <v>626</v>
      </c>
      <c r="B211" s="5">
        <v>489825869</v>
      </c>
    </row>
    <row r="214" spans="1:2" x14ac:dyDescent="0.3">
      <c r="A214" s="8" t="s">
        <v>625</v>
      </c>
      <c r="B214" t="s">
        <v>638</v>
      </c>
    </row>
    <row r="215" spans="1:2" x14ac:dyDescent="0.3">
      <c r="A215" s="9" t="s">
        <v>587</v>
      </c>
      <c r="B215" s="5">
        <v>51465860</v>
      </c>
    </row>
    <row r="216" spans="1:2" x14ac:dyDescent="0.3">
      <c r="A216" s="9" t="s">
        <v>579</v>
      </c>
      <c r="B216" s="5">
        <v>32552790</v>
      </c>
    </row>
    <row r="217" spans="1:2" x14ac:dyDescent="0.3">
      <c r="A217" s="9" t="s">
        <v>592</v>
      </c>
      <c r="B217" s="5">
        <v>19993550</v>
      </c>
    </row>
    <row r="218" spans="1:2" x14ac:dyDescent="0.3">
      <c r="A218" s="9" t="s">
        <v>582</v>
      </c>
      <c r="B218" s="5">
        <v>133078829</v>
      </c>
    </row>
    <row r="219" spans="1:2" x14ac:dyDescent="0.3">
      <c r="A219" s="9" t="s">
        <v>584</v>
      </c>
      <c r="B219" s="5">
        <v>29194180</v>
      </c>
    </row>
    <row r="220" spans="1:2" x14ac:dyDescent="0.3">
      <c r="A220" s="9" t="s">
        <v>589</v>
      </c>
      <c r="B220" s="5">
        <v>44062420</v>
      </c>
    </row>
    <row r="221" spans="1:2" x14ac:dyDescent="0.3">
      <c r="A221" s="9" t="s">
        <v>585</v>
      </c>
      <c r="B221" s="5">
        <v>17977790</v>
      </c>
    </row>
    <row r="222" spans="1:2" x14ac:dyDescent="0.3">
      <c r="A222" s="9" t="s">
        <v>588</v>
      </c>
      <c r="B222" s="5">
        <v>35941700</v>
      </c>
    </row>
    <row r="223" spans="1:2" x14ac:dyDescent="0.3">
      <c r="A223" s="9" t="s">
        <v>591</v>
      </c>
      <c r="B223" s="5">
        <v>24332090</v>
      </c>
    </row>
    <row r="224" spans="1:2" x14ac:dyDescent="0.3">
      <c r="A224" s="9" t="s">
        <v>593</v>
      </c>
      <c r="B224" s="5">
        <v>37593030</v>
      </c>
    </row>
    <row r="225" spans="1:4" x14ac:dyDescent="0.3">
      <c r="A225" s="9" t="s">
        <v>577</v>
      </c>
      <c r="B225" s="5">
        <v>35931630</v>
      </c>
    </row>
    <row r="226" spans="1:4" x14ac:dyDescent="0.3">
      <c r="A226" s="9" t="s">
        <v>590</v>
      </c>
      <c r="B226" s="5">
        <v>27702000</v>
      </c>
    </row>
    <row r="227" spans="1:4" x14ac:dyDescent="0.3">
      <c r="A227" s="9" t="s">
        <v>626</v>
      </c>
      <c r="B227" s="5">
        <v>489825869</v>
      </c>
    </row>
    <row r="231" spans="1:4" x14ac:dyDescent="0.3">
      <c r="A231" s="8" t="s">
        <v>625</v>
      </c>
      <c r="B231" t="s">
        <v>650</v>
      </c>
      <c r="C231" t="s">
        <v>638</v>
      </c>
      <c r="D231" t="s">
        <v>651</v>
      </c>
    </row>
    <row r="232" spans="1:4" x14ac:dyDescent="0.3">
      <c r="A232" s="9" t="s">
        <v>75</v>
      </c>
      <c r="B232" s="4">
        <v>189</v>
      </c>
      <c r="C232" s="5">
        <v>139574029</v>
      </c>
      <c r="D232" s="10">
        <v>21</v>
      </c>
    </row>
    <row r="233" spans="1:4" x14ac:dyDescent="0.3">
      <c r="A233" s="9" t="s">
        <v>95</v>
      </c>
      <c r="B233" s="4">
        <v>275</v>
      </c>
      <c r="C233" s="5">
        <v>39960430</v>
      </c>
      <c r="D233" s="10">
        <v>32</v>
      </c>
    </row>
    <row r="234" spans="1:4" x14ac:dyDescent="0.3">
      <c r="A234" s="9" t="s">
        <v>175</v>
      </c>
      <c r="B234" s="4">
        <v>209</v>
      </c>
      <c r="C234" s="5">
        <v>47652900</v>
      </c>
      <c r="D234" s="10">
        <v>26</v>
      </c>
    </row>
    <row r="235" spans="1:4" x14ac:dyDescent="0.3">
      <c r="A235" s="9" t="s">
        <v>145</v>
      </c>
      <c r="B235" s="4">
        <v>238</v>
      </c>
      <c r="C235" s="5">
        <v>54343190</v>
      </c>
      <c r="D235" s="10">
        <v>33</v>
      </c>
    </row>
    <row r="236" spans="1:4" x14ac:dyDescent="0.3">
      <c r="A236" s="9" t="s">
        <v>60</v>
      </c>
      <c r="B236" s="4">
        <v>486</v>
      </c>
      <c r="C236" s="5">
        <v>55878320</v>
      </c>
      <c r="D236" s="10">
        <v>40</v>
      </c>
    </row>
    <row r="237" spans="1:4" x14ac:dyDescent="0.3">
      <c r="A237" s="9" t="s">
        <v>46</v>
      </c>
      <c r="B237" s="4">
        <v>310</v>
      </c>
      <c r="C237" s="5">
        <v>69125320</v>
      </c>
      <c r="D237" s="10">
        <v>36</v>
      </c>
    </row>
    <row r="238" spans="1:4" x14ac:dyDescent="0.3">
      <c r="A238" s="9" t="s">
        <v>36</v>
      </c>
      <c r="B238" s="4">
        <v>197</v>
      </c>
      <c r="C238" s="5">
        <v>33085950</v>
      </c>
      <c r="D238" s="10">
        <v>28</v>
      </c>
    </row>
    <row r="239" spans="1:4" x14ac:dyDescent="0.3">
      <c r="A239" s="9" t="s">
        <v>621</v>
      </c>
      <c r="B239" s="4">
        <v>26</v>
      </c>
      <c r="C239" s="5">
        <v>2236540</v>
      </c>
      <c r="D239" s="10">
        <v>5</v>
      </c>
    </row>
    <row r="240" spans="1:4" x14ac:dyDescent="0.3">
      <c r="A240" s="9" t="s">
        <v>25</v>
      </c>
      <c r="B240" s="4">
        <v>287</v>
      </c>
      <c r="C240" s="5">
        <v>47969190</v>
      </c>
      <c r="D240" s="10">
        <v>39</v>
      </c>
    </row>
    <row r="241" spans="1:4" x14ac:dyDescent="0.3">
      <c r="A241" s="9" t="s">
        <v>626</v>
      </c>
      <c r="B241" s="4">
        <v>2217</v>
      </c>
      <c r="C241" s="5">
        <v>489825869</v>
      </c>
      <c r="D241" s="10">
        <v>260</v>
      </c>
    </row>
    <row r="243" spans="1:4" x14ac:dyDescent="0.3">
      <c r="A243" s="9"/>
    </row>
  </sheetData>
  <pageMargins left="0.7" right="0.7" top="0.75" bottom="0.75" header="0.3" footer="0.3"/>
  <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AA5-37EB-4035-9855-B9FAE7C6FD47}">
  <dimension ref="A1:R261"/>
  <sheetViews>
    <sheetView workbookViewId="0">
      <selection activeCell="A2" sqref="A1:R261"/>
    </sheetView>
  </sheetViews>
  <sheetFormatPr defaultRowHeight="14.4" x14ac:dyDescent="0.3"/>
  <cols>
    <col min="1" max="1" width="13.44140625" style="6" customWidth="1"/>
    <col min="2" max="2" width="18.109375" style="7" bestFit="1" customWidth="1"/>
    <col min="3" max="4" width="18.109375" style="7" customWidth="1"/>
    <col min="5" max="5" width="22.77734375" style="6" bestFit="1" customWidth="1"/>
    <col min="6" max="6" width="15.5546875" style="6" bestFit="1" customWidth="1"/>
    <col min="7" max="7" width="15.33203125" style="6" customWidth="1"/>
    <col min="8" max="8" width="10.109375" style="6" customWidth="1"/>
    <col min="9" max="9" width="19.21875" customWidth="1"/>
    <col min="10" max="10" width="11.77734375" style="6" bestFit="1" customWidth="1"/>
    <col min="11" max="11" width="14.21875" style="6" bestFit="1" customWidth="1"/>
    <col min="12" max="12" width="8" style="4" bestFit="1" customWidth="1"/>
    <col min="13" max="13" width="14.44140625" style="5" customWidth="1"/>
    <col min="14" max="14" width="12.88671875" style="4" bestFit="1" customWidth="1"/>
    <col min="15" max="15" width="14.109375" style="5" customWidth="1"/>
    <col min="16" max="16" width="15.6640625" style="6" customWidth="1"/>
    <col min="17" max="17" width="13.88671875" style="10" customWidth="1"/>
    <col min="18" max="18" width="15.33203125" style="6" customWidth="1"/>
  </cols>
  <sheetData>
    <row r="1" spans="1:18" x14ac:dyDescent="0.3">
      <c r="A1" s="6" t="s">
        <v>0</v>
      </c>
      <c r="B1" s="7" t="s">
        <v>1</v>
      </c>
      <c r="C1" s="7" t="s">
        <v>639</v>
      </c>
      <c r="D1" s="7" t="s">
        <v>640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4" t="s">
        <v>9</v>
      </c>
      <c r="M1" s="5" t="s">
        <v>613</v>
      </c>
      <c r="N1" s="4" t="s">
        <v>11</v>
      </c>
      <c r="O1" s="5" t="s">
        <v>614</v>
      </c>
      <c r="P1" s="6" t="s">
        <v>13</v>
      </c>
      <c r="Q1" s="10" t="s">
        <v>14</v>
      </c>
      <c r="R1" s="6" t="s">
        <v>15</v>
      </c>
    </row>
    <row r="2" spans="1:18" x14ac:dyDescent="0.3">
      <c r="A2" s="6" t="s">
        <v>594</v>
      </c>
      <c r="B2" s="7">
        <v>45871</v>
      </c>
      <c r="C2" s="7" t="str">
        <f>TEXT(B2, "mmmm")</f>
        <v>August</v>
      </c>
      <c r="D2" s="7" t="str">
        <f>"Q" &amp; ROUNDUP(MONTH(B2)/3,0)</f>
        <v>Q3</v>
      </c>
      <c r="E2" s="6" t="s">
        <v>17</v>
      </c>
      <c r="F2" s="6" t="s">
        <v>18</v>
      </c>
      <c r="G2" s="6" t="s">
        <v>19</v>
      </c>
      <c r="H2" s="6" t="s">
        <v>20</v>
      </c>
      <c r="I2" t="s">
        <v>21</v>
      </c>
      <c r="J2" s="6" t="s">
        <v>22</v>
      </c>
      <c r="K2" s="6" t="s">
        <v>23</v>
      </c>
      <c r="L2" s="4">
        <v>9</v>
      </c>
      <c r="M2" s="5">
        <v>20000</v>
      </c>
      <c r="N2" s="4">
        <v>0.02</v>
      </c>
      <c r="O2" s="5">
        <v>0</v>
      </c>
      <c r="P2" s="6" t="s">
        <v>616</v>
      </c>
      <c r="Q2" s="10" t="s">
        <v>25</v>
      </c>
      <c r="R2" s="6" t="s">
        <v>26</v>
      </c>
    </row>
    <row r="3" spans="1:18" x14ac:dyDescent="0.3">
      <c r="A3" s="6" t="s">
        <v>27</v>
      </c>
      <c r="B3" s="7">
        <v>45786</v>
      </c>
      <c r="C3" s="7" t="str">
        <f t="shared" ref="C3:C66" si="0">TEXT(B3, "mmmm")</f>
        <v>May</v>
      </c>
      <c r="D3" s="7" t="str">
        <f t="shared" ref="D3:D66" si="1">"Q" &amp; ROUNDUP(MONTH(B3)/3,0)</f>
        <v>Q2</v>
      </c>
      <c r="E3" s="6" t="s">
        <v>28</v>
      </c>
      <c r="F3" s="6" t="s">
        <v>29</v>
      </c>
      <c r="G3" s="6" t="s">
        <v>30</v>
      </c>
      <c r="H3" s="6" t="s">
        <v>20</v>
      </c>
      <c r="I3" t="s">
        <v>74</v>
      </c>
      <c r="J3" s="6" t="s">
        <v>32</v>
      </c>
      <c r="K3" s="6" t="s">
        <v>33</v>
      </c>
      <c r="L3" s="4">
        <v>6</v>
      </c>
      <c r="M3" s="5">
        <v>85000</v>
      </c>
      <c r="N3" s="4">
        <v>0</v>
      </c>
      <c r="O3" s="5">
        <v>0</v>
      </c>
      <c r="P3" s="6" t="s">
        <v>35</v>
      </c>
      <c r="Q3" s="10" t="s">
        <v>36</v>
      </c>
      <c r="R3" s="6" t="s">
        <v>26</v>
      </c>
    </row>
    <row r="4" spans="1:18" x14ac:dyDescent="0.3">
      <c r="A4" s="6" t="s">
        <v>38</v>
      </c>
      <c r="B4" s="7">
        <v>45799</v>
      </c>
      <c r="C4" s="7" t="str">
        <f t="shared" si="0"/>
        <v>May</v>
      </c>
      <c r="D4" s="7" t="str">
        <f t="shared" si="1"/>
        <v>Q2</v>
      </c>
      <c r="E4" s="6" t="s">
        <v>39</v>
      </c>
      <c r="F4" s="6" t="s">
        <v>40</v>
      </c>
      <c r="G4" s="6" t="s">
        <v>42</v>
      </c>
      <c r="H4" s="6" t="s">
        <v>42</v>
      </c>
      <c r="I4" t="s">
        <v>144</v>
      </c>
      <c r="J4" s="6" t="s">
        <v>32</v>
      </c>
      <c r="K4" s="6" t="s">
        <v>44</v>
      </c>
      <c r="L4" s="4">
        <v>15</v>
      </c>
      <c r="M4" s="5">
        <v>224000</v>
      </c>
      <c r="N4" s="4">
        <v>0.1</v>
      </c>
      <c r="O4" s="5">
        <v>3024000</v>
      </c>
      <c r="P4" s="6" t="s">
        <v>35</v>
      </c>
      <c r="Q4" s="10" t="s">
        <v>46</v>
      </c>
      <c r="R4" s="6" t="s">
        <v>61</v>
      </c>
    </row>
    <row r="5" spans="1:18" x14ac:dyDescent="0.3">
      <c r="A5" s="6" t="s">
        <v>48</v>
      </c>
      <c r="B5" s="7">
        <v>45965</v>
      </c>
      <c r="C5" s="7" t="str">
        <f t="shared" si="0"/>
        <v>November</v>
      </c>
      <c r="D5" s="7" t="str">
        <f t="shared" si="1"/>
        <v>Q4</v>
      </c>
      <c r="E5" s="6" t="s">
        <v>49</v>
      </c>
      <c r="F5" s="6" t="s">
        <v>50</v>
      </c>
      <c r="G5" s="6" t="s">
        <v>19</v>
      </c>
      <c r="H5" s="6" t="s">
        <v>20</v>
      </c>
      <c r="I5" t="s">
        <v>125</v>
      </c>
      <c r="J5" s="6" t="s">
        <v>32</v>
      </c>
      <c r="K5" s="6" t="s">
        <v>52</v>
      </c>
      <c r="L5" s="4">
        <v>14</v>
      </c>
      <c r="M5" s="5">
        <v>343000</v>
      </c>
      <c r="N5" s="4">
        <v>0</v>
      </c>
      <c r="O5" s="5">
        <v>4802000</v>
      </c>
      <c r="P5" s="6" t="s">
        <v>53</v>
      </c>
      <c r="Q5" s="10" t="s">
        <v>46</v>
      </c>
      <c r="R5" s="6" t="s">
        <v>61</v>
      </c>
    </row>
    <row r="6" spans="1:18" x14ac:dyDescent="0.3">
      <c r="A6" s="6" t="s">
        <v>55</v>
      </c>
      <c r="B6" s="7">
        <v>45841</v>
      </c>
      <c r="C6" s="7" t="str">
        <f t="shared" si="0"/>
        <v>July</v>
      </c>
      <c r="D6" s="7" t="str">
        <f t="shared" si="1"/>
        <v>Q3</v>
      </c>
      <c r="E6" s="6" t="s">
        <v>56</v>
      </c>
      <c r="F6" s="6" t="s">
        <v>18</v>
      </c>
      <c r="G6" s="6" t="s">
        <v>42</v>
      </c>
      <c r="H6" s="6" t="s">
        <v>42</v>
      </c>
      <c r="I6" t="s">
        <v>57</v>
      </c>
      <c r="J6" s="6" t="s">
        <v>32</v>
      </c>
      <c r="K6" s="6" t="s">
        <v>58</v>
      </c>
      <c r="L6" s="4">
        <v>5</v>
      </c>
      <c r="M6" s="5">
        <v>640000</v>
      </c>
      <c r="N6" s="4">
        <v>0.1</v>
      </c>
      <c r="O6" s="5">
        <v>2880000</v>
      </c>
      <c r="P6" s="6" t="s">
        <v>53</v>
      </c>
      <c r="Q6" s="10" t="s">
        <v>60</v>
      </c>
      <c r="R6" s="6" t="s">
        <v>61</v>
      </c>
    </row>
    <row r="7" spans="1:18" x14ac:dyDescent="0.3">
      <c r="A7" s="6" t="s">
        <v>62</v>
      </c>
      <c r="B7" s="7">
        <v>45942</v>
      </c>
      <c r="C7" s="7" t="str">
        <f t="shared" si="0"/>
        <v>October</v>
      </c>
      <c r="D7" s="7" t="str">
        <f t="shared" si="1"/>
        <v>Q4</v>
      </c>
      <c r="E7" s="6" t="s">
        <v>63</v>
      </c>
      <c r="F7" s="6" t="s">
        <v>18</v>
      </c>
      <c r="G7" s="6" t="s">
        <v>42</v>
      </c>
      <c r="H7" s="6" t="s">
        <v>42</v>
      </c>
      <c r="I7" t="s">
        <v>64</v>
      </c>
      <c r="J7" s="6" t="s">
        <v>32</v>
      </c>
      <c r="K7" s="6" t="s">
        <v>65</v>
      </c>
      <c r="L7" s="4">
        <v>4</v>
      </c>
      <c r="M7" s="5">
        <v>518000</v>
      </c>
      <c r="N7" s="4">
        <v>0.1</v>
      </c>
      <c r="O7" s="5">
        <v>0</v>
      </c>
      <c r="P7" s="6" t="s">
        <v>35</v>
      </c>
      <c r="Q7" s="10" t="s">
        <v>60</v>
      </c>
      <c r="R7" s="6" t="s">
        <v>26</v>
      </c>
    </row>
    <row r="8" spans="1:18" x14ac:dyDescent="0.3">
      <c r="A8" s="6" t="s">
        <v>600</v>
      </c>
      <c r="B8" s="7">
        <v>45813</v>
      </c>
      <c r="C8" s="7" t="str">
        <f t="shared" si="0"/>
        <v>June</v>
      </c>
      <c r="D8" s="7" t="str">
        <f t="shared" si="1"/>
        <v>Q2</v>
      </c>
      <c r="E8" s="6" t="s">
        <v>67</v>
      </c>
      <c r="F8" s="6" t="s">
        <v>68</v>
      </c>
      <c r="G8" s="6" t="s">
        <v>69</v>
      </c>
      <c r="H8" s="6" t="s">
        <v>70</v>
      </c>
      <c r="I8" t="s">
        <v>71</v>
      </c>
      <c r="J8" s="6" t="s">
        <v>32</v>
      </c>
      <c r="K8" s="6" t="s">
        <v>33</v>
      </c>
      <c r="L8" s="4">
        <v>5</v>
      </c>
      <c r="M8" s="5">
        <v>331000</v>
      </c>
      <c r="N8" s="4">
        <v>0.05</v>
      </c>
      <c r="O8" s="5">
        <v>1572250</v>
      </c>
      <c r="P8" s="6" t="s">
        <v>35</v>
      </c>
      <c r="Q8" s="10" t="s">
        <v>60</v>
      </c>
      <c r="R8" s="6" t="s">
        <v>61</v>
      </c>
    </row>
    <row r="9" spans="1:18" x14ac:dyDescent="0.3">
      <c r="A9" s="6" t="s">
        <v>72</v>
      </c>
      <c r="B9" s="7">
        <v>45800</v>
      </c>
      <c r="C9" s="7" t="str">
        <f t="shared" si="0"/>
        <v>May</v>
      </c>
      <c r="D9" s="7" t="str">
        <f t="shared" si="1"/>
        <v>Q2</v>
      </c>
      <c r="E9" s="6" t="s">
        <v>17</v>
      </c>
      <c r="F9" s="6" t="s">
        <v>18</v>
      </c>
      <c r="G9" s="6" t="s">
        <v>19</v>
      </c>
      <c r="H9" s="6" t="s">
        <v>20</v>
      </c>
      <c r="I9" t="s">
        <v>74</v>
      </c>
      <c r="J9" s="6" t="s">
        <v>32</v>
      </c>
      <c r="K9" s="6" t="s">
        <v>33</v>
      </c>
      <c r="L9" s="4">
        <v>11</v>
      </c>
      <c r="M9" s="5">
        <v>91000</v>
      </c>
      <c r="N9" s="4">
        <v>0.05</v>
      </c>
      <c r="O9" s="5">
        <v>950950</v>
      </c>
      <c r="P9" s="6" t="s">
        <v>35</v>
      </c>
      <c r="Q9" s="10" t="s">
        <v>75</v>
      </c>
      <c r="R9" s="6" t="s">
        <v>61</v>
      </c>
    </row>
    <row r="10" spans="1:18" x14ac:dyDescent="0.3">
      <c r="A10" s="6" t="s">
        <v>76</v>
      </c>
      <c r="B10" s="7">
        <v>45808</v>
      </c>
      <c r="C10" s="7" t="str">
        <f t="shared" si="0"/>
        <v>May</v>
      </c>
      <c r="D10" s="7" t="str">
        <f t="shared" si="1"/>
        <v>Q2</v>
      </c>
      <c r="E10" s="6" t="s">
        <v>39</v>
      </c>
      <c r="F10" s="6" t="s">
        <v>40</v>
      </c>
      <c r="G10" s="6" t="s">
        <v>42</v>
      </c>
      <c r="H10" s="6" t="s">
        <v>42</v>
      </c>
      <c r="I10" t="s">
        <v>71</v>
      </c>
      <c r="J10" s="6" t="s">
        <v>32</v>
      </c>
      <c r="K10" s="6" t="s">
        <v>33</v>
      </c>
      <c r="L10" s="4">
        <v>1</v>
      </c>
      <c r="M10" s="5">
        <v>328000</v>
      </c>
      <c r="N10" s="4">
        <v>0.05</v>
      </c>
      <c r="O10" s="5">
        <v>311600</v>
      </c>
      <c r="P10" s="6" t="s">
        <v>79</v>
      </c>
      <c r="Q10" s="10" t="s">
        <v>46</v>
      </c>
      <c r="R10" s="6" t="s">
        <v>183</v>
      </c>
    </row>
    <row r="11" spans="1:18" x14ac:dyDescent="0.3">
      <c r="A11" s="6" t="s">
        <v>81</v>
      </c>
      <c r="B11" s="7">
        <v>45755</v>
      </c>
      <c r="C11" s="7" t="str">
        <f t="shared" si="0"/>
        <v>April</v>
      </c>
      <c r="D11" s="7" t="str">
        <f t="shared" si="1"/>
        <v>Q2</v>
      </c>
      <c r="E11" s="6" t="s">
        <v>82</v>
      </c>
      <c r="F11" s="6" t="s">
        <v>83</v>
      </c>
      <c r="G11" s="6" t="s">
        <v>84</v>
      </c>
      <c r="H11" s="6" t="s">
        <v>114</v>
      </c>
      <c r="I11" t="s">
        <v>74</v>
      </c>
      <c r="J11" s="6" t="s">
        <v>32</v>
      </c>
      <c r="K11" s="6" t="s">
        <v>33</v>
      </c>
      <c r="L11" s="4">
        <v>11</v>
      </c>
      <c r="M11" s="5">
        <v>82000</v>
      </c>
      <c r="N11" s="4">
        <v>0</v>
      </c>
      <c r="O11" s="5">
        <v>902000</v>
      </c>
      <c r="P11" s="6" t="s">
        <v>86</v>
      </c>
      <c r="Q11" s="10" t="s">
        <v>36</v>
      </c>
      <c r="R11" s="6" t="s">
        <v>87</v>
      </c>
    </row>
    <row r="12" spans="1:18" x14ac:dyDescent="0.3">
      <c r="A12" s="6" t="s">
        <v>88</v>
      </c>
      <c r="B12" s="7">
        <v>45778</v>
      </c>
      <c r="C12" s="7" t="str">
        <f t="shared" si="0"/>
        <v>May</v>
      </c>
      <c r="D12" s="7" t="str">
        <f t="shared" si="1"/>
        <v>Q2</v>
      </c>
      <c r="E12" s="6" t="s">
        <v>89</v>
      </c>
      <c r="F12" s="6" t="s">
        <v>90</v>
      </c>
      <c r="G12" s="6" t="s">
        <v>19</v>
      </c>
      <c r="H12" s="6" t="s">
        <v>20</v>
      </c>
      <c r="I12" t="s">
        <v>128</v>
      </c>
      <c r="J12" s="6" t="s">
        <v>22</v>
      </c>
      <c r="K12" s="6" t="s">
        <v>92</v>
      </c>
      <c r="L12" s="4">
        <v>12</v>
      </c>
      <c r="M12" s="5">
        <v>172000</v>
      </c>
      <c r="N12" s="4">
        <v>0</v>
      </c>
      <c r="O12" s="5">
        <v>2064000</v>
      </c>
      <c r="P12" s="6" t="s">
        <v>94</v>
      </c>
      <c r="Q12" s="10" t="s">
        <v>95</v>
      </c>
      <c r="R12" s="6" t="s">
        <v>61</v>
      </c>
    </row>
    <row r="13" spans="1:18" x14ac:dyDescent="0.3">
      <c r="A13" s="6" t="s">
        <v>96</v>
      </c>
      <c r="B13" s="7">
        <v>45866</v>
      </c>
      <c r="C13" s="7" t="str">
        <f t="shared" si="0"/>
        <v>July</v>
      </c>
      <c r="D13" s="7" t="str">
        <f t="shared" si="1"/>
        <v>Q3</v>
      </c>
      <c r="E13" s="6" t="s">
        <v>39</v>
      </c>
      <c r="F13" s="6" t="s">
        <v>40</v>
      </c>
      <c r="G13" s="6" t="s">
        <v>42</v>
      </c>
      <c r="H13" s="6" t="s">
        <v>42</v>
      </c>
      <c r="I13" t="s">
        <v>71</v>
      </c>
      <c r="J13" s="6" t="s">
        <v>32</v>
      </c>
      <c r="K13" s="6" t="s">
        <v>33</v>
      </c>
      <c r="L13" s="4">
        <v>4</v>
      </c>
      <c r="M13" s="5">
        <v>277000</v>
      </c>
      <c r="N13" s="4">
        <v>0</v>
      </c>
      <c r="O13" s="5">
        <v>1108000</v>
      </c>
      <c r="P13" s="6" t="s">
        <v>94</v>
      </c>
      <c r="Q13" s="10" t="s">
        <v>46</v>
      </c>
      <c r="R13" s="6" t="s">
        <v>61</v>
      </c>
    </row>
    <row r="14" spans="1:18" x14ac:dyDescent="0.3">
      <c r="A14" s="6" t="s">
        <v>98</v>
      </c>
      <c r="B14" s="7">
        <v>46000</v>
      </c>
      <c r="C14" s="7" t="str">
        <f t="shared" si="0"/>
        <v>December</v>
      </c>
      <c r="D14" s="7" t="str">
        <f t="shared" si="1"/>
        <v>Q4</v>
      </c>
      <c r="E14" s="6" t="s">
        <v>82</v>
      </c>
      <c r="F14" s="6" t="s">
        <v>83</v>
      </c>
      <c r="G14" s="6" t="s">
        <v>84</v>
      </c>
      <c r="H14" s="6" t="s">
        <v>114</v>
      </c>
      <c r="I14" t="s">
        <v>620</v>
      </c>
      <c r="J14" s="6" t="s">
        <v>101</v>
      </c>
      <c r="K14" s="6" t="s">
        <v>102</v>
      </c>
      <c r="L14" s="4">
        <v>6</v>
      </c>
      <c r="M14" s="5">
        <v>118000</v>
      </c>
      <c r="N14" s="4">
        <v>0</v>
      </c>
      <c r="O14" s="5">
        <v>0</v>
      </c>
      <c r="P14" s="6" t="s">
        <v>86</v>
      </c>
      <c r="Q14" s="10" t="s">
        <v>95</v>
      </c>
      <c r="R14" s="6" t="s">
        <v>26</v>
      </c>
    </row>
    <row r="15" spans="1:18" x14ac:dyDescent="0.3">
      <c r="A15" s="6" t="s">
        <v>105</v>
      </c>
      <c r="B15" s="7">
        <v>45862</v>
      </c>
      <c r="C15" s="7" t="str">
        <f t="shared" si="0"/>
        <v>July</v>
      </c>
      <c r="D15" s="7" t="str">
        <f t="shared" si="1"/>
        <v>Q3</v>
      </c>
      <c r="E15" s="6" t="s">
        <v>106</v>
      </c>
      <c r="F15" s="6" t="s">
        <v>50</v>
      </c>
      <c r="G15" s="6" t="s">
        <v>107</v>
      </c>
      <c r="H15" s="6" t="s">
        <v>108</v>
      </c>
      <c r="I15" t="s">
        <v>109</v>
      </c>
      <c r="J15" s="6" t="s">
        <v>32</v>
      </c>
      <c r="K15" s="6" t="s">
        <v>44</v>
      </c>
      <c r="L15" s="4">
        <v>4</v>
      </c>
      <c r="M15" s="5">
        <v>140000</v>
      </c>
      <c r="N15" s="4">
        <v>0.05</v>
      </c>
      <c r="O15" s="5">
        <v>532000</v>
      </c>
      <c r="P15" s="6" t="s">
        <v>53</v>
      </c>
      <c r="Q15" s="10" t="s">
        <v>36</v>
      </c>
      <c r="R15" s="6" t="s">
        <v>111</v>
      </c>
    </row>
    <row r="16" spans="1:18" x14ac:dyDescent="0.3">
      <c r="A16" s="6" t="s">
        <v>112</v>
      </c>
      <c r="B16" s="7">
        <v>45685</v>
      </c>
      <c r="C16" s="7" t="str">
        <f t="shared" si="0"/>
        <v>January</v>
      </c>
      <c r="D16" s="7" t="str">
        <f t="shared" si="1"/>
        <v>Q1</v>
      </c>
      <c r="E16" s="6" t="s">
        <v>113</v>
      </c>
      <c r="F16" s="6" t="s">
        <v>29</v>
      </c>
      <c r="G16" s="6" t="s">
        <v>84</v>
      </c>
      <c r="H16" s="6" t="s">
        <v>114</v>
      </c>
      <c r="I16" t="s">
        <v>295</v>
      </c>
      <c r="J16" s="6" t="s">
        <v>32</v>
      </c>
      <c r="K16" s="6" t="s">
        <v>58</v>
      </c>
      <c r="L16" s="4">
        <v>2</v>
      </c>
      <c r="M16" s="5">
        <v>389000</v>
      </c>
      <c r="N16" s="4">
        <v>1.5</v>
      </c>
      <c r="O16" s="5">
        <v>778000</v>
      </c>
      <c r="P16" s="6" t="s">
        <v>94</v>
      </c>
      <c r="Q16" s="10" t="s">
        <v>25</v>
      </c>
      <c r="R16" s="6" t="s">
        <v>111</v>
      </c>
    </row>
    <row r="17" spans="1:18" x14ac:dyDescent="0.3">
      <c r="A17" s="6" t="s">
        <v>116</v>
      </c>
      <c r="B17" s="7">
        <v>45983</v>
      </c>
      <c r="C17" s="7" t="str">
        <f t="shared" si="0"/>
        <v>November</v>
      </c>
      <c r="D17" s="7" t="str">
        <f t="shared" si="1"/>
        <v>Q4</v>
      </c>
      <c r="E17" s="6" t="s">
        <v>117</v>
      </c>
      <c r="F17" s="6" t="s">
        <v>68</v>
      </c>
      <c r="G17" s="6" t="s">
        <v>123</v>
      </c>
      <c r="H17" s="6" t="s">
        <v>225</v>
      </c>
      <c r="I17" t="s">
        <v>128</v>
      </c>
      <c r="J17" s="6" t="s">
        <v>22</v>
      </c>
      <c r="K17" s="6" t="s">
        <v>92</v>
      </c>
      <c r="L17" s="4">
        <v>2</v>
      </c>
      <c r="M17" s="5">
        <v>192000</v>
      </c>
      <c r="N17" s="4">
        <v>0.05</v>
      </c>
      <c r="O17" s="5">
        <v>364800</v>
      </c>
      <c r="P17" s="6" t="s">
        <v>53</v>
      </c>
      <c r="Q17" s="10" t="s">
        <v>36</v>
      </c>
      <c r="R17" s="6" t="s">
        <v>111</v>
      </c>
    </row>
    <row r="18" spans="1:18" x14ac:dyDescent="0.3">
      <c r="A18" s="6" t="s">
        <v>120</v>
      </c>
      <c r="B18" s="7">
        <v>45784</v>
      </c>
      <c r="C18" s="7" t="str">
        <f t="shared" si="0"/>
        <v>May</v>
      </c>
      <c r="D18" s="7" t="str">
        <f t="shared" si="1"/>
        <v>Q2</v>
      </c>
      <c r="E18" s="6" t="s">
        <v>67</v>
      </c>
      <c r="F18" s="6" t="s">
        <v>68</v>
      </c>
      <c r="G18" s="6" t="s">
        <v>69</v>
      </c>
      <c r="H18" s="6" t="s">
        <v>70</v>
      </c>
      <c r="I18" t="s">
        <v>64</v>
      </c>
      <c r="J18" s="6" t="s">
        <v>32</v>
      </c>
      <c r="K18" s="6" t="s">
        <v>65</v>
      </c>
      <c r="L18" s="4">
        <v>6</v>
      </c>
      <c r="M18" s="5">
        <v>474000</v>
      </c>
      <c r="N18" s="4">
        <v>0</v>
      </c>
      <c r="O18" s="5">
        <v>2844000</v>
      </c>
      <c r="P18" s="6" t="s">
        <v>53</v>
      </c>
      <c r="Q18" s="10" t="s">
        <v>46</v>
      </c>
      <c r="R18" s="6" t="s">
        <v>87</v>
      </c>
    </row>
    <row r="19" spans="1:18" x14ac:dyDescent="0.3">
      <c r="A19" s="6" t="s">
        <v>122</v>
      </c>
      <c r="B19" s="7">
        <v>45876</v>
      </c>
      <c r="C19" s="7" t="str">
        <f t="shared" si="0"/>
        <v>August</v>
      </c>
      <c r="D19" s="7" t="str">
        <f t="shared" si="1"/>
        <v>Q3</v>
      </c>
      <c r="E19" s="6" t="s">
        <v>117</v>
      </c>
      <c r="F19" s="6" t="s">
        <v>68</v>
      </c>
      <c r="G19" s="6" t="s">
        <v>123</v>
      </c>
      <c r="H19" s="6" t="s">
        <v>225</v>
      </c>
      <c r="I19" t="s">
        <v>125</v>
      </c>
      <c r="J19" s="6" t="s">
        <v>32</v>
      </c>
      <c r="K19" s="6" t="s">
        <v>52</v>
      </c>
      <c r="L19" s="4">
        <v>8</v>
      </c>
      <c r="M19" s="5">
        <v>365000</v>
      </c>
      <c r="N19" s="4">
        <v>0</v>
      </c>
      <c r="O19" s="5">
        <v>2920000</v>
      </c>
      <c r="P19" s="6" t="s">
        <v>94</v>
      </c>
      <c r="Q19" s="10" t="s">
        <v>60</v>
      </c>
      <c r="R19" s="6" t="s">
        <v>111</v>
      </c>
    </row>
    <row r="20" spans="1:18" x14ac:dyDescent="0.3">
      <c r="A20" s="6" t="s">
        <v>127</v>
      </c>
      <c r="B20" s="7">
        <v>45701</v>
      </c>
      <c r="C20" s="7" t="str">
        <f t="shared" si="0"/>
        <v>February</v>
      </c>
      <c r="D20" s="7" t="str">
        <f t="shared" si="1"/>
        <v>Q1</v>
      </c>
      <c r="E20" s="6" t="s">
        <v>39</v>
      </c>
      <c r="F20" s="6" t="s">
        <v>40</v>
      </c>
      <c r="G20" s="6" t="s">
        <v>42</v>
      </c>
      <c r="H20" s="6" t="s">
        <v>42</v>
      </c>
      <c r="I20" t="s">
        <v>128</v>
      </c>
      <c r="J20" s="6" t="s">
        <v>22</v>
      </c>
      <c r="K20" s="6" t="s">
        <v>92</v>
      </c>
      <c r="L20" s="4">
        <v>2</v>
      </c>
      <c r="M20" s="5">
        <v>188000</v>
      </c>
      <c r="N20" s="4">
        <v>0</v>
      </c>
      <c r="O20" s="5">
        <v>376000</v>
      </c>
      <c r="P20" s="6" t="s">
        <v>53</v>
      </c>
      <c r="Q20" s="10" t="s">
        <v>95</v>
      </c>
      <c r="R20" s="6" t="s">
        <v>61</v>
      </c>
    </row>
    <row r="21" spans="1:18" x14ac:dyDescent="0.3">
      <c r="A21" s="6" t="s">
        <v>129</v>
      </c>
      <c r="B21" s="7">
        <v>45669</v>
      </c>
      <c r="C21" s="7" t="str">
        <f t="shared" si="0"/>
        <v>January</v>
      </c>
      <c r="D21" s="7" t="str">
        <f t="shared" si="1"/>
        <v>Q1</v>
      </c>
      <c r="E21" s="6" t="s">
        <v>130</v>
      </c>
      <c r="F21" s="6" t="s">
        <v>131</v>
      </c>
      <c r="G21" s="6" t="s">
        <v>19</v>
      </c>
      <c r="H21" s="6" t="s">
        <v>20</v>
      </c>
      <c r="I21" t="s">
        <v>109</v>
      </c>
      <c r="J21" s="6" t="s">
        <v>32</v>
      </c>
      <c r="K21" s="6" t="s">
        <v>44</v>
      </c>
      <c r="L21" s="4">
        <v>15</v>
      </c>
      <c r="M21" s="5">
        <v>152000</v>
      </c>
      <c r="N21" s="4">
        <v>0.02</v>
      </c>
      <c r="O21" s="5">
        <v>2234400</v>
      </c>
      <c r="P21" s="6" t="s">
        <v>86</v>
      </c>
      <c r="Q21" s="10" t="s">
        <v>36</v>
      </c>
      <c r="R21" s="6" t="s">
        <v>61</v>
      </c>
    </row>
    <row r="22" spans="1:18" x14ac:dyDescent="0.3">
      <c r="A22" s="6" t="s">
        <v>134</v>
      </c>
      <c r="B22" s="7">
        <v>45896</v>
      </c>
      <c r="C22" s="7" t="str">
        <f t="shared" si="0"/>
        <v>August</v>
      </c>
      <c r="D22" s="7" t="str">
        <f t="shared" si="1"/>
        <v>Q3</v>
      </c>
      <c r="E22" s="6" t="s">
        <v>135</v>
      </c>
      <c r="F22" s="6" t="s">
        <v>50</v>
      </c>
      <c r="G22" s="6" t="s">
        <v>107</v>
      </c>
      <c r="H22" s="6" t="s">
        <v>108</v>
      </c>
      <c r="I22" t="s">
        <v>64</v>
      </c>
      <c r="J22" s="6" t="s">
        <v>32</v>
      </c>
      <c r="K22" s="6" t="s">
        <v>65</v>
      </c>
      <c r="L22" s="4">
        <v>9</v>
      </c>
      <c r="M22" s="5">
        <v>549000</v>
      </c>
      <c r="N22" s="4">
        <v>0.1</v>
      </c>
      <c r="O22" s="5">
        <v>4446900</v>
      </c>
      <c r="P22" s="6" t="s">
        <v>35</v>
      </c>
      <c r="Q22" s="10" t="s">
        <v>36</v>
      </c>
      <c r="R22" s="6" t="s">
        <v>87</v>
      </c>
    </row>
    <row r="23" spans="1:18" x14ac:dyDescent="0.3">
      <c r="A23" s="6" t="s">
        <v>136</v>
      </c>
      <c r="B23" s="7">
        <v>45965</v>
      </c>
      <c r="C23" s="7" t="str">
        <f t="shared" si="0"/>
        <v>November</v>
      </c>
      <c r="D23" s="7" t="str">
        <f t="shared" si="1"/>
        <v>Q4</v>
      </c>
      <c r="E23" s="6" t="s">
        <v>106</v>
      </c>
      <c r="F23" s="6" t="s">
        <v>50</v>
      </c>
      <c r="G23" s="6" t="s">
        <v>107</v>
      </c>
      <c r="H23" s="6" t="s">
        <v>108</v>
      </c>
      <c r="I23" t="s">
        <v>137</v>
      </c>
      <c r="J23" s="6" t="s">
        <v>138</v>
      </c>
      <c r="K23" s="6" t="s">
        <v>138</v>
      </c>
      <c r="L23" s="4">
        <v>8</v>
      </c>
      <c r="M23" s="5">
        <v>26000</v>
      </c>
      <c r="N23" s="4">
        <v>0</v>
      </c>
      <c r="O23" s="5">
        <v>0</v>
      </c>
      <c r="P23" s="6" t="s">
        <v>617</v>
      </c>
      <c r="Q23" s="10" t="s">
        <v>60</v>
      </c>
      <c r="R23" s="6" t="s">
        <v>26</v>
      </c>
    </row>
    <row r="24" spans="1:18" x14ac:dyDescent="0.3">
      <c r="A24" s="6" t="s">
        <v>142</v>
      </c>
      <c r="B24" s="7">
        <v>45674</v>
      </c>
      <c r="C24" s="7" t="str">
        <f t="shared" si="0"/>
        <v>January</v>
      </c>
      <c r="D24" s="7" t="str">
        <f t="shared" si="1"/>
        <v>Q1</v>
      </c>
      <c r="E24" s="6" t="s">
        <v>17</v>
      </c>
      <c r="F24" s="6" t="s">
        <v>18</v>
      </c>
      <c r="G24" s="6" t="s">
        <v>19</v>
      </c>
      <c r="H24" s="6" t="s">
        <v>20</v>
      </c>
      <c r="I24" t="s">
        <v>144</v>
      </c>
      <c r="J24" s="6" t="s">
        <v>32</v>
      </c>
      <c r="K24" s="6" t="s">
        <v>44</v>
      </c>
      <c r="L24" s="4">
        <v>13</v>
      </c>
      <c r="M24" s="5">
        <v>245000</v>
      </c>
      <c r="N24" s="4">
        <v>0</v>
      </c>
      <c r="O24" s="5">
        <v>3185000</v>
      </c>
      <c r="P24" s="6" t="s">
        <v>53</v>
      </c>
      <c r="Q24" s="10" t="s">
        <v>145</v>
      </c>
      <c r="R24" s="6" t="s">
        <v>111</v>
      </c>
    </row>
    <row r="25" spans="1:18" x14ac:dyDescent="0.3">
      <c r="A25" s="6" t="s">
        <v>146</v>
      </c>
      <c r="B25" s="7">
        <v>45875</v>
      </c>
      <c r="C25" s="7" t="str">
        <f t="shared" si="0"/>
        <v>August</v>
      </c>
      <c r="D25" s="7" t="str">
        <f t="shared" si="1"/>
        <v>Q3</v>
      </c>
      <c r="E25" s="6" t="s">
        <v>147</v>
      </c>
      <c r="F25" s="6" t="s">
        <v>18</v>
      </c>
      <c r="G25" s="6" t="s">
        <v>148</v>
      </c>
      <c r="H25" s="6" t="s">
        <v>149</v>
      </c>
      <c r="I25" t="s">
        <v>74</v>
      </c>
      <c r="J25" s="6" t="s">
        <v>32</v>
      </c>
      <c r="K25" s="6" t="s">
        <v>33</v>
      </c>
      <c r="L25" s="4">
        <v>8</v>
      </c>
      <c r="M25" s="5">
        <v>95000</v>
      </c>
      <c r="N25" s="4">
        <v>0</v>
      </c>
      <c r="O25" s="5">
        <v>760000</v>
      </c>
      <c r="P25" s="6" t="s">
        <v>86</v>
      </c>
      <c r="Q25" s="10" t="s">
        <v>145</v>
      </c>
      <c r="R25" s="6" t="s">
        <v>183</v>
      </c>
    </row>
    <row r="26" spans="1:18" x14ac:dyDescent="0.3">
      <c r="A26" s="6" t="s">
        <v>151</v>
      </c>
      <c r="B26" s="7">
        <v>46001</v>
      </c>
      <c r="C26" s="7" t="str">
        <f t="shared" si="0"/>
        <v>December</v>
      </c>
      <c r="D26" s="7" t="str">
        <f t="shared" si="1"/>
        <v>Q4</v>
      </c>
      <c r="E26" s="6" t="s">
        <v>113</v>
      </c>
      <c r="F26" s="6" t="s">
        <v>29</v>
      </c>
      <c r="G26" s="6" t="s">
        <v>84</v>
      </c>
      <c r="H26" s="6" t="s">
        <v>114</v>
      </c>
      <c r="I26" t="s">
        <v>137</v>
      </c>
      <c r="J26" s="6" t="s">
        <v>138</v>
      </c>
      <c r="K26" s="6" t="s">
        <v>138</v>
      </c>
      <c r="L26" s="4">
        <v>15</v>
      </c>
      <c r="M26" s="5">
        <v>25000</v>
      </c>
      <c r="N26" s="4">
        <v>0</v>
      </c>
      <c r="O26" s="5">
        <v>375000</v>
      </c>
      <c r="P26" s="6" t="s">
        <v>53</v>
      </c>
      <c r="Q26" s="10" t="s">
        <v>60</v>
      </c>
      <c r="R26" s="6" t="s">
        <v>61</v>
      </c>
    </row>
    <row r="27" spans="1:18" x14ac:dyDescent="0.3">
      <c r="A27" s="6" t="s">
        <v>153</v>
      </c>
      <c r="B27" s="7">
        <v>45773</v>
      </c>
      <c r="C27" s="7" t="str">
        <f t="shared" si="0"/>
        <v>April</v>
      </c>
      <c r="D27" s="7" t="str">
        <f t="shared" si="1"/>
        <v>Q2</v>
      </c>
      <c r="E27" s="6" t="s">
        <v>154</v>
      </c>
      <c r="F27" s="6" t="s">
        <v>131</v>
      </c>
      <c r="G27" s="6" t="s">
        <v>19</v>
      </c>
      <c r="H27" s="6" t="s">
        <v>20</v>
      </c>
      <c r="I27" t="s">
        <v>235</v>
      </c>
      <c r="J27" s="6" t="s">
        <v>101</v>
      </c>
      <c r="K27" s="6" t="s">
        <v>156</v>
      </c>
      <c r="L27" s="4">
        <v>6</v>
      </c>
      <c r="M27" s="5">
        <v>204000</v>
      </c>
      <c r="N27" s="4">
        <v>0.02</v>
      </c>
      <c r="O27" s="5">
        <v>99999999</v>
      </c>
      <c r="P27" s="6" t="s">
        <v>35</v>
      </c>
      <c r="Q27" s="10" t="s">
        <v>75</v>
      </c>
      <c r="R27" s="6" t="s">
        <v>61</v>
      </c>
    </row>
    <row r="28" spans="1:18" x14ac:dyDescent="0.3">
      <c r="A28" s="6" t="s">
        <v>158</v>
      </c>
      <c r="B28" s="7">
        <v>45738</v>
      </c>
      <c r="C28" s="7" t="str">
        <f t="shared" si="0"/>
        <v>March</v>
      </c>
      <c r="D28" s="7" t="str">
        <f t="shared" si="1"/>
        <v>Q1</v>
      </c>
      <c r="E28" s="6" t="s">
        <v>159</v>
      </c>
      <c r="F28" s="6" t="s">
        <v>131</v>
      </c>
      <c r="G28" s="6" t="s">
        <v>84</v>
      </c>
      <c r="H28" s="6" t="s">
        <v>114</v>
      </c>
      <c r="I28" t="s">
        <v>160</v>
      </c>
      <c r="J28" s="6" t="s">
        <v>22</v>
      </c>
      <c r="K28" s="6" t="s">
        <v>23</v>
      </c>
      <c r="L28" s="4">
        <v>9</v>
      </c>
      <c r="M28" s="5">
        <v>72000</v>
      </c>
      <c r="N28" s="4">
        <v>0.1</v>
      </c>
      <c r="O28" s="5">
        <v>583200</v>
      </c>
      <c r="P28" s="6" t="s">
        <v>53</v>
      </c>
      <c r="Q28" s="10" t="s">
        <v>25</v>
      </c>
      <c r="R28" s="6" t="s">
        <v>61</v>
      </c>
    </row>
    <row r="29" spans="1:18" x14ac:dyDescent="0.3">
      <c r="A29" s="6" t="s">
        <v>161</v>
      </c>
      <c r="B29" s="7">
        <v>45785</v>
      </c>
      <c r="C29" s="7" t="str">
        <f t="shared" si="0"/>
        <v>May</v>
      </c>
      <c r="D29" s="7" t="str">
        <f t="shared" si="1"/>
        <v>Q2</v>
      </c>
      <c r="E29" s="6" t="s">
        <v>89</v>
      </c>
      <c r="F29" s="6" t="s">
        <v>90</v>
      </c>
      <c r="G29" s="6" t="s">
        <v>19</v>
      </c>
      <c r="H29" s="6" t="s">
        <v>20</v>
      </c>
      <c r="I29" t="s">
        <v>137</v>
      </c>
      <c r="J29" s="6" t="s">
        <v>138</v>
      </c>
      <c r="K29" s="6" t="s">
        <v>138</v>
      </c>
      <c r="L29" s="4">
        <v>8</v>
      </c>
      <c r="M29" s="5">
        <v>26000</v>
      </c>
      <c r="N29" s="4">
        <v>0</v>
      </c>
      <c r="O29" s="5">
        <v>208000</v>
      </c>
      <c r="P29" s="6" t="s">
        <v>86</v>
      </c>
      <c r="Q29" s="10" t="s">
        <v>46</v>
      </c>
      <c r="R29" s="6" t="s">
        <v>183</v>
      </c>
    </row>
    <row r="30" spans="1:18" x14ac:dyDescent="0.3">
      <c r="A30" s="6" t="s">
        <v>165</v>
      </c>
      <c r="B30" s="7">
        <v>45703</v>
      </c>
      <c r="C30" s="7" t="str">
        <f t="shared" si="0"/>
        <v>February</v>
      </c>
      <c r="D30" s="7" t="str">
        <f t="shared" si="1"/>
        <v>Q1</v>
      </c>
      <c r="E30" s="6" t="s">
        <v>106</v>
      </c>
      <c r="F30" s="6" t="s">
        <v>50</v>
      </c>
      <c r="G30" s="6" t="s">
        <v>107</v>
      </c>
      <c r="H30" s="6" t="s">
        <v>108</v>
      </c>
      <c r="I30" t="s">
        <v>160</v>
      </c>
      <c r="J30" s="6" t="s">
        <v>22</v>
      </c>
      <c r="K30" s="6" t="s">
        <v>23</v>
      </c>
      <c r="L30" s="4">
        <v>1</v>
      </c>
      <c r="M30" s="5">
        <v>79000</v>
      </c>
      <c r="N30" s="4">
        <v>0</v>
      </c>
      <c r="O30" s="5">
        <v>79000</v>
      </c>
      <c r="P30" s="6" t="s">
        <v>94</v>
      </c>
      <c r="Q30" s="10" t="s">
        <v>25</v>
      </c>
      <c r="R30" s="6" t="s">
        <v>183</v>
      </c>
    </row>
    <row r="31" spans="1:18" x14ac:dyDescent="0.3">
      <c r="A31" s="6" t="s">
        <v>167</v>
      </c>
      <c r="B31" s="7">
        <v>45761</v>
      </c>
      <c r="C31" s="7" t="str">
        <f t="shared" si="0"/>
        <v>April</v>
      </c>
      <c r="D31" s="7" t="str">
        <f t="shared" si="1"/>
        <v>Q2</v>
      </c>
      <c r="E31" s="6" t="s">
        <v>82</v>
      </c>
      <c r="F31" s="6" t="s">
        <v>83</v>
      </c>
      <c r="G31" s="6" t="s">
        <v>84</v>
      </c>
      <c r="H31" s="6" t="s">
        <v>114</v>
      </c>
      <c r="I31" t="s">
        <v>169</v>
      </c>
      <c r="J31" s="6" t="s">
        <v>22</v>
      </c>
      <c r="K31" s="6" t="s">
        <v>23</v>
      </c>
      <c r="L31" s="4">
        <v>2</v>
      </c>
      <c r="M31" s="5">
        <v>41000</v>
      </c>
      <c r="N31" s="4">
        <v>0.02</v>
      </c>
      <c r="O31" s="5">
        <v>80360</v>
      </c>
      <c r="P31" s="6" t="s">
        <v>171</v>
      </c>
      <c r="Q31" s="10" t="s">
        <v>75</v>
      </c>
      <c r="R31" s="6" t="s">
        <v>183</v>
      </c>
    </row>
    <row r="32" spans="1:18" x14ac:dyDescent="0.3">
      <c r="A32" s="6" t="s">
        <v>172</v>
      </c>
      <c r="B32" s="7">
        <v>45955</v>
      </c>
      <c r="C32" s="7" t="str">
        <f t="shared" si="0"/>
        <v>October</v>
      </c>
      <c r="D32" s="7" t="str">
        <f t="shared" si="1"/>
        <v>Q4</v>
      </c>
      <c r="E32" s="6" t="s">
        <v>106</v>
      </c>
      <c r="F32" s="6" t="s">
        <v>50</v>
      </c>
      <c r="G32" s="6" t="s">
        <v>107</v>
      </c>
      <c r="H32" s="6" t="s">
        <v>108</v>
      </c>
      <c r="I32" t="s">
        <v>21</v>
      </c>
      <c r="J32" s="6" t="s">
        <v>22</v>
      </c>
      <c r="K32" s="6" t="s">
        <v>23</v>
      </c>
      <c r="L32" s="4">
        <v>3</v>
      </c>
      <c r="M32" s="5">
        <v>19000</v>
      </c>
      <c r="N32" s="4">
        <v>0.05</v>
      </c>
      <c r="O32" s="5">
        <v>54150</v>
      </c>
      <c r="P32" s="6" t="s">
        <v>86</v>
      </c>
      <c r="Q32" s="10" t="s">
        <v>145</v>
      </c>
      <c r="R32" s="6" t="s">
        <v>61</v>
      </c>
    </row>
    <row r="33" spans="1:18" x14ac:dyDescent="0.3">
      <c r="A33" s="6" t="s">
        <v>173</v>
      </c>
      <c r="B33" s="7">
        <v>45952</v>
      </c>
      <c r="C33" s="7" t="str">
        <f t="shared" si="0"/>
        <v>October</v>
      </c>
      <c r="D33" s="7" t="str">
        <f t="shared" si="1"/>
        <v>Q4</v>
      </c>
      <c r="E33" s="6" t="s">
        <v>159</v>
      </c>
      <c r="F33" s="6" t="s">
        <v>131</v>
      </c>
      <c r="G33" s="6" t="s">
        <v>84</v>
      </c>
      <c r="H33" s="6" t="s">
        <v>114</v>
      </c>
      <c r="I33" t="s">
        <v>137</v>
      </c>
      <c r="J33" s="6" t="s">
        <v>138</v>
      </c>
      <c r="K33" s="6" t="s">
        <v>138</v>
      </c>
      <c r="L33" s="4">
        <v>12</v>
      </c>
      <c r="M33" s="5">
        <v>28000</v>
      </c>
      <c r="N33" s="4">
        <v>0.02</v>
      </c>
      <c r="O33" s="5">
        <v>329280</v>
      </c>
      <c r="P33" s="6" t="s">
        <v>94</v>
      </c>
      <c r="Q33" s="10" t="s">
        <v>175</v>
      </c>
      <c r="R33" s="6" t="s">
        <v>61</v>
      </c>
    </row>
    <row r="34" spans="1:18" x14ac:dyDescent="0.3">
      <c r="A34" s="6" t="s">
        <v>176</v>
      </c>
      <c r="B34" s="7">
        <v>45971</v>
      </c>
      <c r="C34" s="7" t="str">
        <f t="shared" si="0"/>
        <v>November</v>
      </c>
      <c r="D34" s="7" t="str">
        <f t="shared" si="1"/>
        <v>Q4</v>
      </c>
      <c r="E34" s="6" t="s">
        <v>117</v>
      </c>
      <c r="F34" s="6" t="s">
        <v>68</v>
      </c>
      <c r="G34" s="6" t="s">
        <v>123</v>
      </c>
      <c r="H34" s="6" t="s">
        <v>225</v>
      </c>
      <c r="I34" t="s">
        <v>178</v>
      </c>
      <c r="J34" s="6" t="s">
        <v>101</v>
      </c>
      <c r="K34" s="6" t="s">
        <v>179</v>
      </c>
      <c r="L34" s="4">
        <v>12</v>
      </c>
      <c r="M34" s="5">
        <v>102000</v>
      </c>
      <c r="N34" s="4">
        <v>0</v>
      </c>
      <c r="O34" s="5">
        <v>1224000</v>
      </c>
      <c r="P34" s="6" t="s">
        <v>94</v>
      </c>
      <c r="Q34" s="10" t="s">
        <v>95</v>
      </c>
      <c r="R34" s="6" t="s">
        <v>61</v>
      </c>
    </row>
    <row r="35" spans="1:18" x14ac:dyDescent="0.3">
      <c r="A35" s="6" t="s">
        <v>181</v>
      </c>
      <c r="B35" s="7">
        <v>45706</v>
      </c>
      <c r="C35" s="7" t="str">
        <f t="shared" si="0"/>
        <v>February</v>
      </c>
      <c r="D35" s="7" t="str">
        <f t="shared" si="1"/>
        <v>Q1</v>
      </c>
      <c r="E35" s="6" t="s">
        <v>28</v>
      </c>
      <c r="F35" s="6" t="s">
        <v>29</v>
      </c>
      <c r="G35" s="6" t="s">
        <v>30</v>
      </c>
      <c r="H35" s="6" t="s">
        <v>20</v>
      </c>
      <c r="I35" t="s">
        <v>235</v>
      </c>
      <c r="J35" s="6" t="s">
        <v>101</v>
      </c>
      <c r="K35" s="6" t="s">
        <v>156</v>
      </c>
      <c r="L35" s="4">
        <v>15</v>
      </c>
      <c r="M35" s="5">
        <v>170000</v>
      </c>
      <c r="N35" s="4">
        <v>0.02</v>
      </c>
      <c r="O35" s="5">
        <v>2499000</v>
      </c>
      <c r="P35" s="6" t="s">
        <v>94</v>
      </c>
      <c r="Q35" s="10" t="s">
        <v>75</v>
      </c>
      <c r="R35" s="6" t="s">
        <v>61</v>
      </c>
    </row>
    <row r="36" spans="1:18" x14ac:dyDescent="0.3">
      <c r="A36" s="6" t="s">
        <v>182</v>
      </c>
      <c r="B36" s="7">
        <v>45706</v>
      </c>
      <c r="C36" s="7" t="str">
        <f t="shared" si="0"/>
        <v>February</v>
      </c>
      <c r="D36" s="7" t="str">
        <f t="shared" si="1"/>
        <v>Q1</v>
      </c>
      <c r="E36" s="6" t="s">
        <v>82</v>
      </c>
      <c r="F36" s="6" t="s">
        <v>83</v>
      </c>
      <c r="G36" s="6" t="s">
        <v>84</v>
      </c>
      <c r="H36" s="6" t="s">
        <v>114</v>
      </c>
      <c r="I36" t="s">
        <v>74</v>
      </c>
      <c r="J36" s="6" t="s">
        <v>32</v>
      </c>
      <c r="K36" s="6" t="s">
        <v>33</v>
      </c>
      <c r="L36" s="4">
        <v>7</v>
      </c>
      <c r="M36" s="5">
        <v>75000</v>
      </c>
      <c r="N36" s="4">
        <v>0</v>
      </c>
      <c r="O36" s="5">
        <v>525000</v>
      </c>
      <c r="P36" s="6" t="s">
        <v>53</v>
      </c>
      <c r="Q36" s="10" t="s">
        <v>46</v>
      </c>
      <c r="R36" s="6" t="s">
        <v>183</v>
      </c>
    </row>
    <row r="37" spans="1:18" x14ac:dyDescent="0.3">
      <c r="A37" s="6" t="s">
        <v>184</v>
      </c>
      <c r="B37" s="7">
        <v>45822</v>
      </c>
      <c r="C37" s="7" t="str">
        <f t="shared" si="0"/>
        <v>June</v>
      </c>
      <c r="D37" s="7" t="str">
        <f t="shared" si="1"/>
        <v>Q2</v>
      </c>
      <c r="E37" s="6" t="s">
        <v>82</v>
      </c>
      <c r="F37" s="6" t="s">
        <v>83</v>
      </c>
      <c r="G37" s="6" t="s">
        <v>84</v>
      </c>
      <c r="H37" s="6" t="s">
        <v>114</v>
      </c>
      <c r="I37" t="s">
        <v>235</v>
      </c>
      <c r="J37" s="6" t="s">
        <v>101</v>
      </c>
      <c r="K37" s="6" t="s">
        <v>156</v>
      </c>
      <c r="L37" s="4">
        <v>8</v>
      </c>
      <c r="M37" s="5">
        <v>205000</v>
      </c>
      <c r="N37" s="4">
        <v>0.1</v>
      </c>
      <c r="O37" s="5">
        <v>1476000</v>
      </c>
      <c r="P37" s="6" t="s">
        <v>35</v>
      </c>
      <c r="Q37" s="10" t="s">
        <v>46</v>
      </c>
      <c r="R37" s="6" t="s">
        <v>61</v>
      </c>
    </row>
    <row r="38" spans="1:18" x14ac:dyDescent="0.3">
      <c r="A38" s="6" t="s">
        <v>186</v>
      </c>
      <c r="B38" s="7">
        <v>45709</v>
      </c>
      <c r="C38" s="7" t="str">
        <f t="shared" si="0"/>
        <v>February</v>
      </c>
      <c r="D38" s="7" t="str">
        <f t="shared" si="1"/>
        <v>Q1</v>
      </c>
      <c r="E38" s="6" t="s">
        <v>159</v>
      </c>
      <c r="F38" s="6" t="s">
        <v>131</v>
      </c>
      <c r="G38" s="6" t="s">
        <v>84</v>
      </c>
      <c r="H38" s="6" t="s">
        <v>114</v>
      </c>
      <c r="I38" t="s">
        <v>109</v>
      </c>
      <c r="J38" s="6" t="s">
        <v>32</v>
      </c>
      <c r="K38" s="6" t="s">
        <v>44</v>
      </c>
      <c r="L38" s="4">
        <v>150</v>
      </c>
      <c r="M38" s="5">
        <v>134000</v>
      </c>
      <c r="N38" s="4">
        <v>0.02</v>
      </c>
      <c r="O38" s="5">
        <v>1313200</v>
      </c>
      <c r="P38" s="6" t="s">
        <v>94</v>
      </c>
      <c r="Q38" s="10" t="s">
        <v>60</v>
      </c>
      <c r="R38" s="6" t="s">
        <v>61</v>
      </c>
    </row>
    <row r="39" spans="1:18" x14ac:dyDescent="0.3">
      <c r="A39" s="6" t="s">
        <v>188</v>
      </c>
      <c r="B39" s="7">
        <v>45943</v>
      </c>
      <c r="C39" s="7" t="str">
        <f t="shared" si="0"/>
        <v>October</v>
      </c>
      <c r="D39" s="7" t="str">
        <f t="shared" si="1"/>
        <v>Q4</v>
      </c>
      <c r="E39" s="6" t="s">
        <v>106</v>
      </c>
      <c r="F39" s="6" t="s">
        <v>50</v>
      </c>
      <c r="G39" s="6" t="s">
        <v>107</v>
      </c>
      <c r="H39" s="6" t="s">
        <v>108</v>
      </c>
      <c r="I39" t="s">
        <v>109</v>
      </c>
      <c r="J39" s="6" t="s">
        <v>32</v>
      </c>
      <c r="K39" s="6" t="s">
        <v>44</v>
      </c>
      <c r="L39" s="4">
        <v>7</v>
      </c>
      <c r="M39" s="5">
        <v>147000</v>
      </c>
      <c r="N39" s="4">
        <v>0.1</v>
      </c>
      <c r="O39" s="5">
        <v>926100</v>
      </c>
      <c r="P39" s="6" t="s">
        <v>53</v>
      </c>
      <c r="Q39" s="10" t="s">
        <v>25</v>
      </c>
      <c r="R39" s="6" t="s">
        <v>61</v>
      </c>
    </row>
    <row r="40" spans="1:18" x14ac:dyDescent="0.3">
      <c r="A40" s="6" t="s">
        <v>189</v>
      </c>
      <c r="B40" s="7">
        <v>45733</v>
      </c>
      <c r="C40" s="7" t="str">
        <f t="shared" si="0"/>
        <v>March</v>
      </c>
      <c r="D40" s="7" t="str">
        <f t="shared" si="1"/>
        <v>Q1</v>
      </c>
      <c r="E40" s="6" t="s">
        <v>190</v>
      </c>
      <c r="F40" s="6" t="s">
        <v>191</v>
      </c>
      <c r="G40" s="6" t="s">
        <v>42</v>
      </c>
      <c r="H40" s="6" t="s">
        <v>42</v>
      </c>
      <c r="I40" t="s">
        <v>235</v>
      </c>
      <c r="J40" s="6" t="s">
        <v>101</v>
      </c>
      <c r="K40" s="6" t="s">
        <v>156</v>
      </c>
      <c r="L40" s="4">
        <v>1</v>
      </c>
      <c r="M40" s="5">
        <v>172000</v>
      </c>
      <c r="N40" s="4">
        <v>0</v>
      </c>
      <c r="O40" s="5">
        <v>172000</v>
      </c>
      <c r="P40" s="6" t="s">
        <v>35</v>
      </c>
      <c r="Q40" s="10" t="s">
        <v>145</v>
      </c>
      <c r="R40" s="6" t="s">
        <v>111</v>
      </c>
    </row>
    <row r="41" spans="1:18" x14ac:dyDescent="0.3">
      <c r="A41" s="6" t="s">
        <v>192</v>
      </c>
      <c r="B41" s="7">
        <v>45691</v>
      </c>
      <c r="C41" s="7" t="str">
        <f t="shared" si="0"/>
        <v>February</v>
      </c>
      <c r="D41" s="7" t="str">
        <f t="shared" si="1"/>
        <v>Q1</v>
      </c>
      <c r="E41" s="6" t="s">
        <v>89</v>
      </c>
      <c r="F41" s="6" t="s">
        <v>90</v>
      </c>
      <c r="G41" s="6" t="s">
        <v>19</v>
      </c>
      <c r="H41" s="6" t="s">
        <v>20</v>
      </c>
      <c r="I41" t="s">
        <v>125</v>
      </c>
      <c r="J41" s="6" t="s">
        <v>32</v>
      </c>
      <c r="K41" s="6" t="s">
        <v>52</v>
      </c>
      <c r="L41" s="4">
        <v>4</v>
      </c>
      <c r="M41" s="5">
        <v>380000</v>
      </c>
      <c r="N41" s="4">
        <v>0</v>
      </c>
      <c r="O41" s="5">
        <v>1520000</v>
      </c>
      <c r="P41" s="6" t="s">
        <v>86</v>
      </c>
      <c r="Q41" s="10" t="s">
        <v>36</v>
      </c>
      <c r="R41" s="6" t="s">
        <v>87</v>
      </c>
    </row>
    <row r="42" spans="1:18" x14ac:dyDescent="0.3">
      <c r="A42" s="6" t="s">
        <v>195</v>
      </c>
      <c r="B42" s="7">
        <v>45782</v>
      </c>
      <c r="C42" s="7" t="str">
        <f t="shared" si="0"/>
        <v>May</v>
      </c>
      <c r="D42" s="7" t="str">
        <f t="shared" si="1"/>
        <v>Q2</v>
      </c>
      <c r="E42" s="6" t="s">
        <v>117</v>
      </c>
      <c r="F42" s="6" t="s">
        <v>68</v>
      </c>
      <c r="G42" s="6" t="s">
        <v>123</v>
      </c>
      <c r="H42" s="6" t="s">
        <v>225</v>
      </c>
      <c r="I42" t="s">
        <v>178</v>
      </c>
      <c r="J42" s="6" t="s">
        <v>101</v>
      </c>
      <c r="K42" s="6" t="s">
        <v>179</v>
      </c>
      <c r="L42" s="4">
        <v>2</v>
      </c>
      <c r="M42" s="5">
        <v>103000</v>
      </c>
      <c r="N42" s="4">
        <v>0</v>
      </c>
      <c r="O42" s="5">
        <v>206000</v>
      </c>
      <c r="P42" s="6" t="s">
        <v>94</v>
      </c>
      <c r="Q42" s="10" t="s">
        <v>25</v>
      </c>
      <c r="R42" s="6" t="s">
        <v>61</v>
      </c>
    </row>
    <row r="43" spans="1:18" x14ac:dyDescent="0.3">
      <c r="A43" s="6" t="s">
        <v>196</v>
      </c>
      <c r="B43" s="7">
        <v>46005</v>
      </c>
      <c r="C43" s="7" t="str">
        <f t="shared" si="0"/>
        <v>December</v>
      </c>
      <c r="D43" s="7" t="str">
        <f t="shared" si="1"/>
        <v>Q4</v>
      </c>
      <c r="E43" s="6" t="s">
        <v>82</v>
      </c>
      <c r="F43" s="6" t="s">
        <v>83</v>
      </c>
      <c r="G43" s="6" t="s">
        <v>84</v>
      </c>
      <c r="H43" s="6" t="s">
        <v>114</v>
      </c>
      <c r="I43" t="s">
        <v>125</v>
      </c>
      <c r="J43" s="6" t="s">
        <v>32</v>
      </c>
      <c r="K43" s="6" t="s">
        <v>52</v>
      </c>
      <c r="L43" s="4">
        <v>8</v>
      </c>
      <c r="M43" s="5">
        <v>319000</v>
      </c>
      <c r="N43" s="4">
        <v>0.05</v>
      </c>
      <c r="O43" s="5">
        <v>2424400</v>
      </c>
      <c r="P43" s="6" t="s">
        <v>94</v>
      </c>
      <c r="Q43" s="10" t="s">
        <v>95</v>
      </c>
      <c r="R43" s="6" t="s">
        <v>87</v>
      </c>
    </row>
    <row r="44" spans="1:18" x14ac:dyDescent="0.3">
      <c r="A44" s="6" t="s">
        <v>199</v>
      </c>
      <c r="B44" s="7">
        <v>45748</v>
      </c>
      <c r="C44" s="7" t="str">
        <f t="shared" si="0"/>
        <v>April</v>
      </c>
      <c r="D44" s="7" t="str">
        <f t="shared" si="1"/>
        <v>Q2</v>
      </c>
      <c r="E44" s="6" t="s">
        <v>190</v>
      </c>
      <c r="F44" s="6" t="s">
        <v>191</v>
      </c>
      <c r="G44" s="6" t="s">
        <v>42</v>
      </c>
      <c r="H44" s="6" t="s">
        <v>42</v>
      </c>
      <c r="I44" t="s">
        <v>128</v>
      </c>
      <c r="J44" s="6" t="s">
        <v>22</v>
      </c>
      <c r="K44" s="6" t="s">
        <v>92</v>
      </c>
      <c r="L44" s="4">
        <v>13</v>
      </c>
      <c r="M44" s="5">
        <v>205000</v>
      </c>
      <c r="N44" s="4">
        <v>0</v>
      </c>
      <c r="O44" s="5">
        <v>2665000</v>
      </c>
      <c r="P44" s="6" t="s">
        <v>94</v>
      </c>
      <c r="Q44" s="10" t="s">
        <v>25</v>
      </c>
      <c r="R44" s="6" t="s">
        <v>61</v>
      </c>
    </row>
    <row r="45" spans="1:18" x14ac:dyDescent="0.3">
      <c r="A45" s="6" t="s">
        <v>200</v>
      </c>
      <c r="B45" s="7">
        <v>45722</v>
      </c>
      <c r="C45" s="7" t="str">
        <f t="shared" si="0"/>
        <v>March</v>
      </c>
      <c r="D45" s="7" t="str">
        <f t="shared" si="1"/>
        <v>Q1</v>
      </c>
      <c r="E45" s="6" t="s">
        <v>49</v>
      </c>
      <c r="F45" s="6" t="s">
        <v>50</v>
      </c>
      <c r="G45" s="6" t="s">
        <v>19</v>
      </c>
      <c r="H45" s="6" t="s">
        <v>20</v>
      </c>
      <c r="I45" t="s">
        <v>169</v>
      </c>
      <c r="J45" s="6" t="s">
        <v>22</v>
      </c>
      <c r="K45" s="6" t="s">
        <v>23</v>
      </c>
      <c r="L45" s="4">
        <v>12</v>
      </c>
      <c r="M45" s="5">
        <v>41000</v>
      </c>
      <c r="N45" s="4">
        <v>0</v>
      </c>
      <c r="O45" s="5">
        <v>492000</v>
      </c>
      <c r="P45" s="6" t="s">
        <v>86</v>
      </c>
      <c r="Q45" s="10" t="s">
        <v>95</v>
      </c>
      <c r="R45" s="6" t="s">
        <v>111</v>
      </c>
    </row>
    <row r="46" spans="1:18" x14ac:dyDescent="0.3">
      <c r="A46" s="6" t="s">
        <v>202</v>
      </c>
      <c r="B46" s="7">
        <v>46005</v>
      </c>
      <c r="C46" s="7" t="str">
        <f t="shared" si="0"/>
        <v>December</v>
      </c>
      <c r="D46" s="7" t="str">
        <f t="shared" si="1"/>
        <v>Q4</v>
      </c>
      <c r="E46" s="6" t="s">
        <v>28</v>
      </c>
      <c r="F46" s="6" t="s">
        <v>29</v>
      </c>
      <c r="G46" s="6" t="s">
        <v>30</v>
      </c>
      <c r="H46" s="6" t="s">
        <v>20</v>
      </c>
      <c r="I46" t="s">
        <v>204</v>
      </c>
      <c r="J46" s="6" t="s">
        <v>101</v>
      </c>
      <c r="K46" s="6" t="s">
        <v>156</v>
      </c>
      <c r="L46" s="4">
        <v>1</v>
      </c>
      <c r="M46" s="5">
        <v>142000</v>
      </c>
      <c r="N46" s="4">
        <v>0.1</v>
      </c>
      <c r="O46" s="5">
        <v>0</v>
      </c>
      <c r="P46" s="6" t="s">
        <v>53</v>
      </c>
      <c r="Q46" s="10" t="s">
        <v>36</v>
      </c>
      <c r="R46" s="6" t="s">
        <v>26</v>
      </c>
    </row>
    <row r="47" spans="1:18" x14ac:dyDescent="0.3">
      <c r="A47" s="6" t="s">
        <v>205</v>
      </c>
      <c r="B47" s="7">
        <v>45687</v>
      </c>
      <c r="C47" s="7" t="str">
        <f t="shared" si="0"/>
        <v>January</v>
      </c>
      <c r="D47" s="7" t="str">
        <f t="shared" si="1"/>
        <v>Q1</v>
      </c>
      <c r="E47" s="6" t="s">
        <v>113</v>
      </c>
      <c r="F47" s="6" t="s">
        <v>29</v>
      </c>
      <c r="G47" s="6" t="s">
        <v>84</v>
      </c>
      <c r="H47" s="6" t="s">
        <v>114</v>
      </c>
      <c r="I47" t="s">
        <v>137</v>
      </c>
      <c r="J47" s="6" t="s">
        <v>138</v>
      </c>
      <c r="K47" s="6" t="s">
        <v>138</v>
      </c>
      <c r="L47" s="4">
        <v>12</v>
      </c>
      <c r="M47" s="5">
        <v>25000</v>
      </c>
      <c r="N47" s="4">
        <v>0</v>
      </c>
      <c r="O47" s="5">
        <v>300000</v>
      </c>
      <c r="P47" s="6" t="s">
        <v>618</v>
      </c>
      <c r="Q47" s="10" t="s">
        <v>60</v>
      </c>
      <c r="R47" s="6" t="s">
        <v>183</v>
      </c>
    </row>
    <row r="48" spans="1:18" x14ac:dyDescent="0.3">
      <c r="A48" s="6" t="s">
        <v>206</v>
      </c>
      <c r="B48" s="7">
        <v>45997</v>
      </c>
      <c r="C48" s="7" t="str">
        <f t="shared" si="0"/>
        <v>December</v>
      </c>
      <c r="D48" s="7" t="str">
        <f t="shared" si="1"/>
        <v>Q4</v>
      </c>
      <c r="E48" s="6" t="s">
        <v>154</v>
      </c>
      <c r="F48" s="6" t="s">
        <v>131</v>
      </c>
      <c r="G48" s="6" t="s">
        <v>19</v>
      </c>
      <c r="H48" s="6" t="s">
        <v>20</v>
      </c>
      <c r="I48" t="s">
        <v>64</v>
      </c>
      <c r="J48" s="6" t="s">
        <v>32</v>
      </c>
      <c r="K48" s="6" t="s">
        <v>65</v>
      </c>
      <c r="L48" s="4">
        <v>6</v>
      </c>
      <c r="M48" s="5">
        <v>583000</v>
      </c>
      <c r="N48" s="4">
        <v>0.02</v>
      </c>
      <c r="O48" s="5">
        <v>3428040</v>
      </c>
      <c r="P48" s="6" t="s">
        <v>53</v>
      </c>
      <c r="Q48" s="10" t="s">
        <v>145</v>
      </c>
      <c r="R48" s="6" t="s">
        <v>61</v>
      </c>
    </row>
    <row r="49" spans="1:18" x14ac:dyDescent="0.3">
      <c r="A49" s="6" t="s">
        <v>207</v>
      </c>
      <c r="B49" s="7">
        <v>45905</v>
      </c>
      <c r="C49" s="7" t="str">
        <f t="shared" si="0"/>
        <v>September</v>
      </c>
      <c r="D49" s="7" t="str">
        <f t="shared" si="1"/>
        <v>Q3</v>
      </c>
      <c r="E49" s="6" t="s">
        <v>89</v>
      </c>
      <c r="F49" s="6" t="s">
        <v>90</v>
      </c>
      <c r="G49" s="6" t="s">
        <v>19</v>
      </c>
      <c r="H49" s="6" t="s">
        <v>20</v>
      </c>
      <c r="I49" t="s">
        <v>208</v>
      </c>
      <c r="J49" s="6" t="s">
        <v>209</v>
      </c>
      <c r="K49" s="6" t="s">
        <v>65</v>
      </c>
      <c r="L49" s="4">
        <v>11</v>
      </c>
      <c r="M49" s="5">
        <v>105000</v>
      </c>
      <c r="N49" s="4">
        <v>0</v>
      </c>
      <c r="O49" s="5">
        <v>1155000</v>
      </c>
      <c r="P49" s="6" t="s">
        <v>617</v>
      </c>
      <c r="Q49" s="10" t="s">
        <v>60</v>
      </c>
      <c r="R49" s="6" t="s">
        <v>87</v>
      </c>
    </row>
    <row r="50" spans="1:18" x14ac:dyDescent="0.3">
      <c r="A50" s="6" t="s">
        <v>210</v>
      </c>
      <c r="B50" s="7">
        <v>45667</v>
      </c>
      <c r="C50" s="7" t="str">
        <f t="shared" si="0"/>
        <v>January</v>
      </c>
      <c r="D50" s="7" t="str">
        <f t="shared" si="1"/>
        <v>Q1</v>
      </c>
      <c r="E50" s="6" t="s">
        <v>63</v>
      </c>
      <c r="F50" s="6" t="s">
        <v>18</v>
      </c>
      <c r="G50" s="6" t="s">
        <v>42</v>
      </c>
      <c r="H50" s="6" t="s">
        <v>42</v>
      </c>
      <c r="I50" t="s">
        <v>208</v>
      </c>
      <c r="J50" s="6" t="s">
        <v>209</v>
      </c>
      <c r="K50" s="6" t="s">
        <v>65</v>
      </c>
      <c r="L50" s="4">
        <v>14</v>
      </c>
      <c r="M50" s="5">
        <v>87000</v>
      </c>
      <c r="N50" s="4">
        <v>0</v>
      </c>
      <c r="O50" s="5">
        <v>1218000</v>
      </c>
      <c r="P50" s="6" t="s">
        <v>616</v>
      </c>
      <c r="Q50" s="10" t="s">
        <v>175</v>
      </c>
      <c r="R50" s="6" t="s">
        <v>61</v>
      </c>
    </row>
    <row r="51" spans="1:18" x14ac:dyDescent="0.3">
      <c r="A51" s="6" t="s">
        <v>211</v>
      </c>
      <c r="B51" s="7">
        <v>45906</v>
      </c>
      <c r="C51" s="7" t="str">
        <f t="shared" si="0"/>
        <v>September</v>
      </c>
      <c r="D51" s="7" t="str">
        <f t="shared" si="1"/>
        <v>Q3</v>
      </c>
      <c r="E51" s="6" t="s">
        <v>154</v>
      </c>
      <c r="F51" s="6" t="s">
        <v>131</v>
      </c>
      <c r="G51" s="6" t="s">
        <v>19</v>
      </c>
      <c r="H51" s="6" t="s">
        <v>20</v>
      </c>
      <c r="I51" t="s">
        <v>64</v>
      </c>
      <c r="J51" s="6" t="s">
        <v>32</v>
      </c>
      <c r="K51" s="6" t="s">
        <v>65</v>
      </c>
      <c r="L51" s="4">
        <v>15</v>
      </c>
      <c r="M51" s="5">
        <v>467000</v>
      </c>
      <c r="N51" s="4">
        <v>0</v>
      </c>
      <c r="O51" s="5">
        <v>7005000</v>
      </c>
      <c r="P51" s="6" t="s">
        <v>79</v>
      </c>
      <c r="Q51" s="10" t="s">
        <v>75</v>
      </c>
      <c r="R51" s="6" t="s">
        <v>61</v>
      </c>
    </row>
    <row r="52" spans="1:18" x14ac:dyDescent="0.3">
      <c r="A52" s="6" t="s">
        <v>599</v>
      </c>
      <c r="B52" s="7">
        <v>45788</v>
      </c>
      <c r="C52" s="7" t="str">
        <f t="shared" si="0"/>
        <v>May</v>
      </c>
      <c r="D52" s="7" t="str">
        <f t="shared" si="1"/>
        <v>Q2</v>
      </c>
      <c r="E52" s="6" t="s">
        <v>154</v>
      </c>
      <c r="F52" s="6" t="s">
        <v>131</v>
      </c>
      <c r="G52" s="6" t="s">
        <v>19</v>
      </c>
      <c r="H52" s="6" t="s">
        <v>20</v>
      </c>
      <c r="I52" t="s">
        <v>178</v>
      </c>
      <c r="J52" s="6" t="s">
        <v>101</v>
      </c>
      <c r="K52" s="6" t="s">
        <v>179</v>
      </c>
      <c r="L52" s="4">
        <v>5</v>
      </c>
      <c r="M52" s="5">
        <v>91000</v>
      </c>
      <c r="N52" s="4">
        <v>0</v>
      </c>
      <c r="O52" s="5">
        <v>455000</v>
      </c>
      <c r="P52" s="6" t="s">
        <v>53</v>
      </c>
      <c r="Q52" s="10" t="s">
        <v>621</v>
      </c>
      <c r="R52" s="6" t="s">
        <v>183</v>
      </c>
    </row>
    <row r="53" spans="1:18" x14ac:dyDescent="0.3">
      <c r="A53" s="6" t="s">
        <v>213</v>
      </c>
      <c r="B53" s="7">
        <v>45812</v>
      </c>
      <c r="C53" s="7" t="str">
        <f t="shared" si="0"/>
        <v>June</v>
      </c>
      <c r="D53" s="7" t="str">
        <f t="shared" si="1"/>
        <v>Q2</v>
      </c>
      <c r="E53" s="6" t="s">
        <v>214</v>
      </c>
      <c r="F53" s="6" t="s">
        <v>102</v>
      </c>
      <c r="G53" s="6" t="s">
        <v>19</v>
      </c>
      <c r="H53" s="6" t="s">
        <v>20</v>
      </c>
      <c r="I53" t="s">
        <v>204</v>
      </c>
      <c r="J53" s="6" t="s">
        <v>101</v>
      </c>
      <c r="K53" s="6" t="s">
        <v>156</v>
      </c>
      <c r="L53" s="4">
        <v>14</v>
      </c>
      <c r="M53" s="5">
        <v>167000</v>
      </c>
      <c r="N53" s="4">
        <v>0</v>
      </c>
      <c r="O53" s="5">
        <v>2338000</v>
      </c>
      <c r="P53" s="6" t="s">
        <v>94</v>
      </c>
      <c r="Q53" s="10" t="s">
        <v>145</v>
      </c>
      <c r="R53" s="6" t="s">
        <v>87</v>
      </c>
    </row>
    <row r="54" spans="1:18" x14ac:dyDescent="0.3">
      <c r="A54" s="6" t="s">
        <v>216</v>
      </c>
      <c r="B54" s="7">
        <v>45978</v>
      </c>
      <c r="C54" s="7" t="str">
        <f t="shared" si="0"/>
        <v>November</v>
      </c>
      <c r="D54" s="7" t="str">
        <f t="shared" si="1"/>
        <v>Q4</v>
      </c>
      <c r="E54" s="6" t="s">
        <v>63</v>
      </c>
      <c r="F54" s="6" t="s">
        <v>18</v>
      </c>
      <c r="G54" s="6" t="s">
        <v>42</v>
      </c>
      <c r="H54" s="6" t="s">
        <v>42</v>
      </c>
      <c r="I54" t="s">
        <v>169</v>
      </c>
      <c r="J54" s="6" t="s">
        <v>22</v>
      </c>
      <c r="K54" s="6" t="s">
        <v>23</v>
      </c>
      <c r="L54" s="4">
        <v>3</v>
      </c>
      <c r="M54" s="5">
        <v>41000</v>
      </c>
      <c r="N54" s="4">
        <v>0.05</v>
      </c>
      <c r="O54" s="5">
        <v>116850</v>
      </c>
      <c r="P54" s="6" t="s">
        <v>86</v>
      </c>
      <c r="Q54" s="10" t="s">
        <v>36</v>
      </c>
      <c r="R54" s="6" t="s">
        <v>183</v>
      </c>
    </row>
    <row r="55" spans="1:18" x14ac:dyDescent="0.3">
      <c r="A55" s="6" t="s">
        <v>217</v>
      </c>
      <c r="B55" s="7">
        <v>45950</v>
      </c>
      <c r="C55" s="7" t="str">
        <f t="shared" si="0"/>
        <v>October</v>
      </c>
      <c r="D55" s="7" t="str">
        <f t="shared" si="1"/>
        <v>Q4</v>
      </c>
      <c r="E55" s="6" t="s">
        <v>82</v>
      </c>
      <c r="F55" s="6" t="s">
        <v>83</v>
      </c>
      <c r="G55" s="6" t="s">
        <v>84</v>
      </c>
      <c r="H55" s="6" t="s">
        <v>114</v>
      </c>
      <c r="I55" t="s">
        <v>74</v>
      </c>
      <c r="J55" s="6" t="s">
        <v>32</v>
      </c>
      <c r="K55" s="6" t="s">
        <v>33</v>
      </c>
      <c r="L55" s="4">
        <v>12</v>
      </c>
      <c r="M55" s="5">
        <v>78000</v>
      </c>
      <c r="N55" s="4">
        <v>0.05</v>
      </c>
      <c r="O55" s="5">
        <v>889200</v>
      </c>
      <c r="P55" s="6" t="s">
        <v>35</v>
      </c>
      <c r="Q55" s="10" t="s">
        <v>46</v>
      </c>
      <c r="R55" s="6" t="s">
        <v>61</v>
      </c>
    </row>
    <row r="56" spans="1:18" x14ac:dyDescent="0.3">
      <c r="A56" s="6" t="s">
        <v>219</v>
      </c>
      <c r="B56" s="7">
        <v>45940</v>
      </c>
      <c r="C56" s="7" t="str">
        <f t="shared" si="0"/>
        <v>October</v>
      </c>
      <c r="D56" s="7" t="str">
        <f t="shared" si="1"/>
        <v>Q4</v>
      </c>
      <c r="E56" s="6" t="s">
        <v>49</v>
      </c>
      <c r="F56" s="6" t="s">
        <v>50</v>
      </c>
      <c r="G56" s="6" t="s">
        <v>19</v>
      </c>
      <c r="H56" s="6" t="s">
        <v>20</v>
      </c>
      <c r="I56" t="s">
        <v>137</v>
      </c>
      <c r="J56" s="6" t="s">
        <v>138</v>
      </c>
      <c r="K56" s="6" t="s">
        <v>138</v>
      </c>
      <c r="L56" s="4">
        <v>5</v>
      </c>
      <c r="M56" s="5">
        <v>27000</v>
      </c>
      <c r="N56" s="4">
        <v>0</v>
      </c>
      <c r="O56" s="5">
        <v>135000</v>
      </c>
      <c r="P56" s="6" t="s">
        <v>53</v>
      </c>
      <c r="Q56" s="10" t="s">
        <v>25</v>
      </c>
      <c r="R56" s="6" t="s">
        <v>87</v>
      </c>
    </row>
    <row r="57" spans="1:18" x14ac:dyDescent="0.3">
      <c r="A57" s="6" t="s">
        <v>220</v>
      </c>
      <c r="B57" s="7">
        <v>45928</v>
      </c>
      <c r="C57" s="7" t="str">
        <f t="shared" si="0"/>
        <v>September</v>
      </c>
      <c r="D57" s="7" t="str">
        <f t="shared" si="1"/>
        <v>Q3</v>
      </c>
      <c r="E57" s="6" t="s">
        <v>106</v>
      </c>
      <c r="F57" s="6" t="s">
        <v>50</v>
      </c>
      <c r="G57" s="6" t="s">
        <v>107</v>
      </c>
      <c r="H57" s="6" t="s">
        <v>108</v>
      </c>
      <c r="I57" t="s">
        <v>160</v>
      </c>
      <c r="J57" s="6" t="s">
        <v>22</v>
      </c>
      <c r="K57" s="6" t="s">
        <v>23</v>
      </c>
      <c r="L57" s="4">
        <v>6</v>
      </c>
      <c r="M57" s="5">
        <v>68000</v>
      </c>
      <c r="N57" s="4">
        <v>0.02</v>
      </c>
      <c r="O57" s="5">
        <v>399840</v>
      </c>
      <c r="P57" s="6" t="s">
        <v>94</v>
      </c>
      <c r="Q57" s="10" t="s">
        <v>95</v>
      </c>
      <c r="R57" s="6" t="s">
        <v>61</v>
      </c>
    </row>
    <row r="58" spans="1:18" x14ac:dyDescent="0.3">
      <c r="A58" s="6" t="s">
        <v>221</v>
      </c>
      <c r="B58" s="7">
        <v>45956</v>
      </c>
      <c r="C58" s="7" t="str">
        <f t="shared" si="0"/>
        <v>October</v>
      </c>
      <c r="D58" s="7" t="str">
        <f t="shared" si="1"/>
        <v>Q4</v>
      </c>
      <c r="E58" s="6" t="s">
        <v>190</v>
      </c>
      <c r="F58" s="6" t="s">
        <v>191</v>
      </c>
      <c r="G58" s="6" t="s">
        <v>42</v>
      </c>
      <c r="H58" s="6" t="s">
        <v>42</v>
      </c>
      <c r="I58" t="s">
        <v>57</v>
      </c>
      <c r="J58" s="6" t="s">
        <v>32</v>
      </c>
      <c r="K58" s="6" t="s">
        <v>58</v>
      </c>
      <c r="L58" s="4">
        <v>10</v>
      </c>
      <c r="M58" s="5">
        <v>616000</v>
      </c>
      <c r="N58" s="4">
        <v>0</v>
      </c>
      <c r="O58" s="5">
        <v>6160000</v>
      </c>
      <c r="P58" s="6" t="s">
        <v>53</v>
      </c>
      <c r="Q58" s="10" t="s">
        <v>175</v>
      </c>
      <c r="R58" s="6" t="s">
        <v>87</v>
      </c>
    </row>
    <row r="59" spans="1:18" x14ac:dyDescent="0.3">
      <c r="A59" s="6" t="s">
        <v>222</v>
      </c>
      <c r="B59" s="7">
        <v>45820</v>
      </c>
      <c r="C59" s="7" t="str">
        <f t="shared" si="0"/>
        <v>June</v>
      </c>
      <c r="D59" s="7" t="str">
        <f t="shared" si="1"/>
        <v>Q2</v>
      </c>
      <c r="E59" s="6" t="s">
        <v>147</v>
      </c>
      <c r="F59" s="6" t="s">
        <v>18</v>
      </c>
      <c r="G59" s="6" t="s">
        <v>148</v>
      </c>
      <c r="H59" s="6" t="s">
        <v>149</v>
      </c>
      <c r="I59" t="s">
        <v>169</v>
      </c>
      <c r="J59" s="6" t="s">
        <v>22</v>
      </c>
      <c r="K59" s="6" t="s">
        <v>23</v>
      </c>
      <c r="L59" s="4">
        <v>2</v>
      </c>
      <c r="M59" s="5">
        <v>39000</v>
      </c>
      <c r="N59" s="4">
        <v>0</v>
      </c>
      <c r="O59" s="5">
        <v>78000</v>
      </c>
      <c r="P59" s="6" t="s">
        <v>35</v>
      </c>
      <c r="Q59" s="10" t="s">
        <v>25</v>
      </c>
      <c r="R59" s="6" t="s">
        <v>183</v>
      </c>
    </row>
    <row r="60" spans="1:18" x14ac:dyDescent="0.3">
      <c r="A60" s="6" t="s">
        <v>223</v>
      </c>
      <c r="B60" s="7">
        <v>45793</v>
      </c>
      <c r="C60" s="7" t="str">
        <f t="shared" si="0"/>
        <v>May</v>
      </c>
      <c r="D60" s="7" t="str">
        <f t="shared" si="1"/>
        <v>Q2</v>
      </c>
      <c r="E60" s="6" t="s">
        <v>117</v>
      </c>
      <c r="F60" s="6" t="s">
        <v>68</v>
      </c>
      <c r="G60" s="6" t="s">
        <v>123</v>
      </c>
      <c r="H60" s="6" t="s">
        <v>225</v>
      </c>
      <c r="I60" t="s">
        <v>125</v>
      </c>
      <c r="J60" s="6" t="s">
        <v>32</v>
      </c>
      <c r="K60" s="6" t="s">
        <v>52</v>
      </c>
      <c r="L60" s="4">
        <v>1</v>
      </c>
      <c r="M60" s="5">
        <v>395000</v>
      </c>
      <c r="N60" s="4">
        <v>0</v>
      </c>
      <c r="O60" s="5">
        <v>0</v>
      </c>
      <c r="P60" s="6" t="s">
        <v>94</v>
      </c>
      <c r="Q60" s="10" t="s">
        <v>145</v>
      </c>
      <c r="R60" s="6" t="s">
        <v>26</v>
      </c>
    </row>
    <row r="61" spans="1:18" x14ac:dyDescent="0.3">
      <c r="A61" s="6" t="s">
        <v>226</v>
      </c>
      <c r="B61" s="7">
        <v>45973</v>
      </c>
      <c r="C61" s="7" t="str">
        <f t="shared" si="0"/>
        <v>November</v>
      </c>
      <c r="D61" s="7" t="str">
        <f t="shared" si="1"/>
        <v>Q4</v>
      </c>
      <c r="E61" s="6" t="s">
        <v>135</v>
      </c>
      <c r="F61" s="6" t="s">
        <v>50</v>
      </c>
      <c r="G61" s="6" t="s">
        <v>107</v>
      </c>
      <c r="H61" s="6" t="s">
        <v>108</v>
      </c>
      <c r="I61" t="s">
        <v>204</v>
      </c>
      <c r="J61" s="6" t="s">
        <v>101</v>
      </c>
      <c r="K61" s="6" t="s">
        <v>156</v>
      </c>
      <c r="L61" s="4">
        <v>4</v>
      </c>
      <c r="M61" s="5">
        <v>171000</v>
      </c>
      <c r="N61" s="4">
        <v>0</v>
      </c>
      <c r="O61" s="5">
        <v>684000</v>
      </c>
      <c r="P61" s="6" t="s">
        <v>171</v>
      </c>
      <c r="Q61" s="10" t="s">
        <v>25</v>
      </c>
      <c r="R61" s="6" t="s">
        <v>61</v>
      </c>
    </row>
    <row r="62" spans="1:18" x14ac:dyDescent="0.3">
      <c r="A62" s="6" t="s">
        <v>227</v>
      </c>
      <c r="B62" s="7">
        <v>45805</v>
      </c>
      <c r="C62" s="7" t="str">
        <f t="shared" si="0"/>
        <v>May</v>
      </c>
      <c r="D62" s="7" t="str">
        <f t="shared" si="1"/>
        <v>Q2</v>
      </c>
      <c r="E62" s="6" t="s">
        <v>106</v>
      </c>
      <c r="F62" s="6" t="s">
        <v>50</v>
      </c>
      <c r="G62" s="6" t="s">
        <v>107</v>
      </c>
      <c r="H62" s="6" t="s">
        <v>108</v>
      </c>
      <c r="I62" t="s">
        <v>144</v>
      </c>
      <c r="J62" s="6" t="s">
        <v>32</v>
      </c>
      <c r="K62" s="6" t="s">
        <v>44</v>
      </c>
      <c r="L62" s="4">
        <v>2</v>
      </c>
      <c r="M62" s="5">
        <v>234000</v>
      </c>
      <c r="N62" s="4">
        <v>0</v>
      </c>
      <c r="O62" s="5">
        <v>468000</v>
      </c>
      <c r="P62" s="6" t="s">
        <v>53</v>
      </c>
      <c r="Q62" s="10" t="s">
        <v>36</v>
      </c>
      <c r="R62" s="6" t="s">
        <v>183</v>
      </c>
    </row>
    <row r="63" spans="1:18" x14ac:dyDescent="0.3">
      <c r="A63" s="6" t="s">
        <v>229</v>
      </c>
      <c r="B63" s="7">
        <v>45877</v>
      </c>
      <c r="C63" s="7" t="str">
        <f t="shared" si="0"/>
        <v>August</v>
      </c>
      <c r="D63" s="7" t="str">
        <f t="shared" si="1"/>
        <v>Q3</v>
      </c>
      <c r="E63" s="6" t="s">
        <v>82</v>
      </c>
      <c r="F63" s="6" t="s">
        <v>83</v>
      </c>
      <c r="G63" s="6" t="s">
        <v>84</v>
      </c>
      <c r="H63" s="6" t="s">
        <v>114</v>
      </c>
      <c r="I63" t="s">
        <v>208</v>
      </c>
      <c r="J63" s="6" t="s">
        <v>209</v>
      </c>
      <c r="K63" s="6" t="s">
        <v>65</v>
      </c>
      <c r="L63" s="4">
        <v>10</v>
      </c>
      <c r="M63" s="5">
        <v>98000</v>
      </c>
      <c r="N63" s="4">
        <v>0</v>
      </c>
      <c r="O63" s="5">
        <v>0</v>
      </c>
      <c r="P63" s="6" t="s">
        <v>53</v>
      </c>
      <c r="Q63" s="10" t="s">
        <v>145</v>
      </c>
      <c r="R63" s="6" t="s">
        <v>26</v>
      </c>
    </row>
    <row r="64" spans="1:18" x14ac:dyDescent="0.3">
      <c r="A64" s="6" t="s">
        <v>231</v>
      </c>
      <c r="B64" s="7">
        <v>45674</v>
      </c>
      <c r="C64" s="7" t="str">
        <f t="shared" si="0"/>
        <v>January</v>
      </c>
      <c r="D64" s="7" t="str">
        <f t="shared" si="1"/>
        <v>Q1</v>
      </c>
      <c r="E64" s="6" t="s">
        <v>39</v>
      </c>
      <c r="F64" s="6" t="s">
        <v>40</v>
      </c>
      <c r="G64" s="6" t="s">
        <v>42</v>
      </c>
      <c r="H64" s="6" t="s">
        <v>42</v>
      </c>
      <c r="I64" t="s">
        <v>71</v>
      </c>
      <c r="J64" s="6" t="s">
        <v>32</v>
      </c>
      <c r="K64" s="6" t="s">
        <v>33</v>
      </c>
      <c r="L64" s="4">
        <v>14</v>
      </c>
      <c r="M64" s="5">
        <v>335000</v>
      </c>
      <c r="N64" s="4">
        <v>0.02</v>
      </c>
      <c r="O64" s="5">
        <v>4596200</v>
      </c>
      <c r="P64" s="6" t="s">
        <v>35</v>
      </c>
      <c r="Q64" s="10" t="s">
        <v>75</v>
      </c>
      <c r="R64" s="6" t="s">
        <v>61</v>
      </c>
    </row>
    <row r="65" spans="1:18" x14ac:dyDescent="0.3">
      <c r="A65" s="6" t="s">
        <v>232</v>
      </c>
      <c r="B65" s="7">
        <v>45854</v>
      </c>
      <c r="C65" s="7" t="str">
        <f t="shared" si="0"/>
        <v>July</v>
      </c>
      <c r="D65" s="7" t="str">
        <f t="shared" si="1"/>
        <v>Q3</v>
      </c>
      <c r="E65" s="6" t="s">
        <v>39</v>
      </c>
      <c r="F65" s="6" t="s">
        <v>40</v>
      </c>
      <c r="G65" s="6" t="s">
        <v>42</v>
      </c>
      <c r="H65" s="6" t="s">
        <v>42</v>
      </c>
      <c r="I65" t="s">
        <v>21</v>
      </c>
      <c r="J65" s="6" t="s">
        <v>22</v>
      </c>
      <c r="K65" s="6" t="s">
        <v>23</v>
      </c>
      <c r="L65" s="4">
        <v>8</v>
      </c>
      <c r="M65" s="5">
        <v>16000</v>
      </c>
      <c r="N65" s="4">
        <v>0.02</v>
      </c>
      <c r="O65" s="5">
        <v>125440</v>
      </c>
      <c r="P65" s="6" t="s">
        <v>94</v>
      </c>
      <c r="Q65" s="10" t="s">
        <v>175</v>
      </c>
      <c r="R65" s="6" t="s">
        <v>61</v>
      </c>
    </row>
    <row r="66" spans="1:18" x14ac:dyDescent="0.3">
      <c r="A66" s="6" t="s">
        <v>233</v>
      </c>
      <c r="B66" s="7">
        <v>45899</v>
      </c>
      <c r="C66" s="7" t="str">
        <f t="shared" si="0"/>
        <v>August</v>
      </c>
      <c r="D66" s="7" t="str">
        <f t="shared" si="1"/>
        <v>Q3</v>
      </c>
      <c r="E66" s="6" t="s">
        <v>135</v>
      </c>
      <c r="F66" s="6" t="s">
        <v>50</v>
      </c>
      <c r="G66" s="6" t="s">
        <v>107</v>
      </c>
      <c r="H66" s="6" t="s">
        <v>108</v>
      </c>
      <c r="I66" t="s">
        <v>64</v>
      </c>
      <c r="J66" s="6" t="s">
        <v>32</v>
      </c>
      <c r="K66" s="6" t="s">
        <v>65</v>
      </c>
      <c r="L66" s="4">
        <v>5</v>
      </c>
      <c r="M66" s="5">
        <v>588000</v>
      </c>
      <c r="N66" s="4">
        <v>0.1</v>
      </c>
      <c r="O66" s="5">
        <v>0</v>
      </c>
      <c r="P66" s="6" t="s">
        <v>94</v>
      </c>
      <c r="Q66" s="10" t="s">
        <v>25</v>
      </c>
      <c r="R66" s="6" t="s">
        <v>26</v>
      </c>
    </row>
    <row r="67" spans="1:18" x14ac:dyDescent="0.3">
      <c r="A67" s="6" t="s">
        <v>234</v>
      </c>
      <c r="B67" s="7">
        <v>45876</v>
      </c>
      <c r="C67" s="7" t="str">
        <f t="shared" ref="C67:C130" si="2">TEXT(B67, "mmmm")</f>
        <v>August</v>
      </c>
      <c r="D67" s="7" t="str">
        <f t="shared" ref="D67:D130" si="3">"Q" &amp; ROUNDUP(MONTH(B67)/3,0)</f>
        <v>Q3</v>
      </c>
      <c r="E67" s="6" t="s">
        <v>56</v>
      </c>
      <c r="F67" s="6" t="s">
        <v>18</v>
      </c>
      <c r="G67" s="6" t="s">
        <v>42</v>
      </c>
      <c r="H67" s="6" t="s">
        <v>42</v>
      </c>
      <c r="I67" t="s">
        <v>235</v>
      </c>
      <c r="J67" s="6" t="s">
        <v>101</v>
      </c>
      <c r="K67" s="6" t="s">
        <v>156</v>
      </c>
      <c r="L67" s="4">
        <v>14</v>
      </c>
      <c r="M67" s="5">
        <v>187000</v>
      </c>
      <c r="N67" s="4">
        <v>0</v>
      </c>
      <c r="O67" s="5">
        <v>2618000</v>
      </c>
      <c r="P67" s="6" t="s">
        <v>86</v>
      </c>
      <c r="Q67" s="10" t="s">
        <v>75</v>
      </c>
      <c r="R67" s="6" t="s">
        <v>183</v>
      </c>
    </row>
    <row r="68" spans="1:18" x14ac:dyDescent="0.3">
      <c r="A68" s="6" t="s">
        <v>237</v>
      </c>
      <c r="B68" s="7">
        <v>45807</v>
      </c>
      <c r="C68" s="7" t="str">
        <f t="shared" si="2"/>
        <v>May</v>
      </c>
      <c r="D68" s="7" t="str">
        <f t="shared" si="3"/>
        <v>Q2</v>
      </c>
      <c r="E68" s="6" t="s">
        <v>28</v>
      </c>
      <c r="F68" s="6" t="s">
        <v>29</v>
      </c>
      <c r="G68" s="6" t="s">
        <v>30</v>
      </c>
      <c r="H68" s="6" t="s">
        <v>20</v>
      </c>
      <c r="I68" t="s">
        <v>137</v>
      </c>
      <c r="J68" s="6" t="s">
        <v>138</v>
      </c>
      <c r="K68" s="6" t="s">
        <v>138</v>
      </c>
      <c r="L68" s="4">
        <v>2</v>
      </c>
      <c r="M68" s="5">
        <v>30000</v>
      </c>
      <c r="N68" s="4">
        <v>0</v>
      </c>
      <c r="O68" s="5">
        <v>60000</v>
      </c>
      <c r="P68" s="6" t="s">
        <v>94</v>
      </c>
      <c r="Q68" s="10" t="s">
        <v>25</v>
      </c>
      <c r="R68" s="6" t="s">
        <v>111</v>
      </c>
    </row>
    <row r="69" spans="1:18" x14ac:dyDescent="0.3">
      <c r="A69" s="6" t="s">
        <v>238</v>
      </c>
      <c r="B69" s="7">
        <v>45859</v>
      </c>
      <c r="C69" s="7" t="str">
        <f t="shared" si="2"/>
        <v>July</v>
      </c>
      <c r="D69" s="7" t="str">
        <f t="shared" si="3"/>
        <v>Q3</v>
      </c>
      <c r="E69" s="6" t="s">
        <v>147</v>
      </c>
      <c r="F69" s="6" t="s">
        <v>18</v>
      </c>
      <c r="G69" s="6" t="s">
        <v>148</v>
      </c>
      <c r="H69" s="6" t="s">
        <v>149</v>
      </c>
      <c r="I69" t="s">
        <v>235</v>
      </c>
      <c r="J69" s="6" t="s">
        <v>101</v>
      </c>
      <c r="K69" s="6" t="s">
        <v>156</v>
      </c>
      <c r="L69" s="4">
        <v>5</v>
      </c>
      <c r="M69" s="5">
        <v>205000</v>
      </c>
      <c r="N69" s="4">
        <v>0.05</v>
      </c>
      <c r="O69" s="5">
        <v>973750</v>
      </c>
      <c r="P69" s="6" t="s">
        <v>94</v>
      </c>
      <c r="Q69" s="10" t="s">
        <v>46</v>
      </c>
      <c r="R69" s="6" t="s">
        <v>183</v>
      </c>
    </row>
    <row r="70" spans="1:18" x14ac:dyDescent="0.3">
      <c r="A70" s="6" t="s">
        <v>239</v>
      </c>
      <c r="B70" s="7">
        <v>45735</v>
      </c>
      <c r="C70" s="7" t="str">
        <f t="shared" si="2"/>
        <v>March</v>
      </c>
      <c r="D70" s="7" t="str">
        <f t="shared" si="3"/>
        <v>Q1</v>
      </c>
      <c r="E70" s="6" t="s">
        <v>49</v>
      </c>
      <c r="F70" s="6" t="s">
        <v>50</v>
      </c>
      <c r="G70" s="6" t="s">
        <v>19</v>
      </c>
      <c r="H70" s="6" t="s">
        <v>20</v>
      </c>
      <c r="I70" t="s">
        <v>71</v>
      </c>
      <c r="J70" s="6" t="s">
        <v>32</v>
      </c>
      <c r="K70" s="6" t="s">
        <v>33</v>
      </c>
      <c r="L70" s="4">
        <v>13</v>
      </c>
      <c r="M70" s="5">
        <v>285000</v>
      </c>
      <c r="N70" s="4">
        <v>0.05</v>
      </c>
      <c r="O70" s="5">
        <v>3519750</v>
      </c>
      <c r="P70" s="6" t="s">
        <v>35</v>
      </c>
      <c r="Q70" s="10" t="s">
        <v>25</v>
      </c>
      <c r="R70" s="6" t="s">
        <v>61</v>
      </c>
    </row>
    <row r="71" spans="1:18" x14ac:dyDescent="0.3">
      <c r="A71" s="6" t="s">
        <v>240</v>
      </c>
      <c r="B71" s="7">
        <v>45692</v>
      </c>
      <c r="C71" s="7" t="str">
        <f t="shared" si="2"/>
        <v>February</v>
      </c>
      <c r="D71" s="7" t="str">
        <f t="shared" si="3"/>
        <v>Q1</v>
      </c>
      <c r="E71" s="6" t="s">
        <v>130</v>
      </c>
      <c r="F71" s="6" t="s">
        <v>131</v>
      </c>
      <c r="G71" s="6" t="s">
        <v>19</v>
      </c>
      <c r="H71" s="6" t="s">
        <v>20</v>
      </c>
      <c r="I71" t="s">
        <v>204</v>
      </c>
      <c r="J71" s="6" t="s">
        <v>101</v>
      </c>
      <c r="K71" s="6" t="s">
        <v>156</v>
      </c>
      <c r="L71" s="4">
        <v>10</v>
      </c>
      <c r="M71" s="5">
        <v>155000</v>
      </c>
      <c r="N71" s="4">
        <v>0.1</v>
      </c>
      <c r="O71" s="5">
        <v>1395000</v>
      </c>
      <c r="P71" s="6" t="s">
        <v>35</v>
      </c>
      <c r="Q71" s="10" t="s">
        <v>46</v>
      </c>
      <c r="R71" s="6" t="s">
        <v>61</v>
      </c>
    </row>
    <row r="72" spans="1:18" x14ac:dyDescent="0.3">
      <c r="A72" s="6" t="s">
        <v>241</v>
      </c>
      <c r="B72" s="7">
        <v>45892</v>
      </c>
      <c r="C72" s="7" t="str">
        <f t="shared" si="2"/>
        <v>August</v>
      </c>
      <c r="D72" s="7" t="str">
        <f t="shared" si="3"/>
        <v>Q3</v>
      </c>
      <c r="E72" s="6" t="s">
        <v>159</v>
      </c>
      <c r="F72" s="6" t="s">
        <v>131</v>
      </c>
      <c r="G72" s="6" t="s">
        <v>84</v>
      </c>
      <c r="H72" s="6" t="s">
        <v>114</v>
      </c>
      <c r="I72" t="s">
        <v>125</v>
      </c>
      <c r="J72" s="6" t="s">
        <v>32</v>
      </c>
      <c r="K72" s="6" t="s">
        <v>52</v>
      </c>
      <c r="L72" s="4">
        <v>10</v>
      </c>
      <c r="M72" s="5">
        <v>394000</v>
      </c>
      <c r="N72" s="4">
        <v>0.05</v>
      </c>
      <c r="O72" s="5">
        <v>3743000</v>
      </c>
      <c r="P72" s="6" t="s">
        <v>53</v>
      </c>
      <c r="Q72" s="10" t="s">
        <v>60</v>
      </c>
      <c r="R72" s="6" t="s">
        <v>183</v>
      </c>
    </row>
    <row r="73" spans="1:18" x14ac:dyDescent="0.3">
      <c r="A73" s="6" t="s">
        <v>242</v>
      </c>
      <c r="B73" s="7">
        <v>45883</v>
      </c>
      <c r="C73" s="7" t="str">
        <f t="shared" si="2"/>
        <v>August</v>
      </c>
      <c r="D73" s="7" t="str">
        <f t="shared" si="3"/>
        <v>Q3</v>
      </c>
      <c r="E73" s="6" t="s">
        <v>214</v>
      </c>
      <c r="F73" s="6" t="s">
        <v>102</v>
      </c>
      <c r="G73" s="6" t="s">
        <v>19</v>
      </c>
      <c r="H73" s="6" t="s">
        <v>20</v>
      </c>
      <c r="I73" t="s">
        <v>125</v>
      </c>
      <c r="J73" s="6" t="s">
        <v>32</v>
      </c>
      <c r="K73" s="6" t="s">
        <v>52</v>
      </c>
      <c r="L73" s="4">
        <v>6</v>
      </c>
      <c r="M73" s="5">
        <v>353000</v>
      </c>
      <c r="N73" s="4">
        <v>0</v>
      </c>
      <c r="O73" s="5">
        <v>2118000</v>
      </c>
      <c r="P73" s="6" t="s">
        <v>53</v>
      </c>
      <c r="Q73" s="10" t="s">
        <v>25</v>
      </c>
      <c r="R73" s="6" t="s">
        <v>61</v>
      </c>
    </row>
    <row r="74" spans="1:18" x14ac:dyDescent="0.3">
      <c r="A74" s="6" t="s">
        <v>245</v>
      </c>
      <c r="B74" s="7">
        <v>45903</v>
      </c>
      <c r="C74" s="7" t="str">
        <f t="shared" si="2"/>
        <v>September</v>
      </c>
      <c r="D74" s="7" t="str">
        <f t="shared" si="3"/>
        <v>Q3</v>
      </c>
      <c r="E74" s="6" t="s">
        <v>67</v>
      </c>
      <c r="F74" s="6" t="s">
        <v>68</v>
      </c>
      <c r="G74" s="6" t="s">
        <v>69</v>
      </c>
      <c r="H74" s="6" t="s">
        <v>70</v>
      </c>
      <c r="I74" t="s">
        <v>109</v>
      </c>
      <c r="J74" s="6" t="s">
        <v>32</v>
      </c>
      <c r="K74" s="6" t="s">
        <v>44</v>
      </c>
      <c r="L74" s="4">
        <v>9</v>
      </c>
      <c r="M74" s="5">
        <v>149000</v>
      </c>
      <c r="N74" s="4">
        <v>0.1</v>
      </c>
      <c r="O74" s="5">
        <v>1206900</v>
      </c>
      <c r="P74" s="6" t="s">
        <v>94</v>
      </c>
      <c r="Q74" s="10" t="s">
        <v>36</v>
      </c>
      <c r="R74" s="6" t="s">
        <v>61</v>
      </c>
    </row>
    <row r="75" spans="1:18" x14ac:dyDescent="0.3">
      <c r="A75" s="6" t="s">
        <v>247</v>
      </c>
      <c r="B75" s="7">
        <v>45802</v>
      </c>
      <c r="C75" s="7" t="str">
        <f t="shared" si="2"/>
        <v>May</v>
      </c>
      <c r="D75" s="7" t="str">
        <f t="shared" si="3"/>
        <v>Q2</v>
      </c>
      <c r="E75" s="6" t="s">
        <v>63</v>
      </c>
      <c r="F75" s="6" t="s">
        <v>18</v>
      </c>
      <c r="G75" s="6" t="s">
        <v>42</v>
      </c>
      <c r="H75" s="6" t="s">
        <v>42</v>
      </c>
      <c r="I75" t="s">
        <v>21</v>
      </c>
      <c r="J75" s="6" t="s">
        <v>22</v>
      </c>
      <c r="K75" s="6" t="s">
        <v>23</v>
      </c>
      <c r="L75" s="4">
        <v>13</v>
      </c>
      <c r="M75" s="5">
        <v>17000</v>
      </c>
      <c r="N75" s="4">
        <v>0.02</v>
      </c>
      <c r="O75" s="5">
        <v>216580</v>
      </c>
      <c r="P75" s="6" t="s">
        <v>86</v>
      </c>
      <c r="Q75" s="10" t="s">
        <v>95</v>
      </c>
      <c r="R75" s="6" t="s">
        <v>111</v>
      </c>
    </row>
    <row r="76" spans="1:18" x14ac:dyDescent="0.3">
      <c r="A76" s="6" t="s">
        <v>249</v>
      </c>
      <c r="B76" s="7">
        <v>45748</v>
      </c>
      <c r="C76" s="7" t="str">
        <f t="shared" si="2"/>
        <v>April</v>
      </c>
      <c r="D76" s="7" t="str">
        <f t="shared" si="3"/>
        <v>Q2</v>
      </c>
      <c r="E76" s="6" t="s">
        <v>67</v>
      </c>
      <c r="F76" s="6" t="s">
        <v>68</v>
      </c>
      <c r="G76" s="6" t="s">
        <v>69</v>
      </c>
      <c r="H76" s="6" t="s">
        <v>70</v>
      </c>
      <c r="I76" t="s">
        <v>74</v>
      </c>
      <c r="J76" s="6" t="s">
        <v>32</v>
      </c>
      <c r="K76" s="6" t="s">
        <v>33</v>
      </c>
      <c r="L76" s="4">
        <v>13</v>
      </c>
      <c r="M76" s="5">
        <v>96000</v>
      </c>
      <c r="N76" s="4">
        <v>0.02</v>
      </c>
      <c r="O76" s="5">
        <v>1223040</v>
      </c>
      <c r="P76" s="6" t="s">
        <v>53</v>
      </c>
      <c r="Q76" s="10" t="s">
        <v>60</v>
      </c>
      <c r="R76" s="6" t="s">
        <v>183</v>
      </c>
    </row>
    <row r="77" spans="1:18" x14ac:dyDescent="0.3">
      <c r="A77" s="6" t="s">
        <v>250</v>
      </c>
      <c r="B77" s="7">
        <v>45948</v>
      </c>
      <c r="C77" s="7" t="str">
        <f t="shared" si="2"/>
        <v>October</v>
      </c>
      <c r="D77" s="7" t="str">
        <f t="shared" si="3"/>
        <v>Q4</v>
      </c>
      <c r="E77" s="6" t="s">
        <v>214</v>
      </c>
      <c r="F77" s="6" t="s">
        <v>102</v>
      </c>
      <c r="G77" s="6" t="s">
        <v>19</v>
      </c>
      <c r="H77" s="6" t="s">
        <v>20</v>
      </c>
      <c r="I77" t="s">
        <v>235</v>
      </c>
      <c r="J77" s="6" t="s">
        <v>101</v>
      </c>
      <c r="K77" s="6" t="s">
        <v>156</v>
      </c>
      <c r="L77" s="4">
        <v>11</v>
      </c>
      <c r="M77" s="5">
        <v>175000</v>
      </c>
      <c r="N77" s="4">
        <v>0.1</v>
      </c>
      <c r="O77" s="5">
        <v>1732500</v>
      </c>
      <c r="P77" s="6" t="s">
        <v>53</v>
      </c>
      <c r="Q77" s="10" t="s">
        <v>145</v>
      </c>
      <c r="R77" s="6" t="s">
        <v>183</v>
      </c>
    </row>
    <row r="78" spans="1:18" x14ac:dyDescent="0.3">
      <c r="A78" s="6" t="s">
        <v>251</v>
      </c>
      <c r="B78" s="7">
        <v>45682</v>
      </c>
      <c r="C78" s="7" t="str">
        <f t="shared" si="2"/>
        <v>January</v>
      </c>
      <c r="D78" s="7" t="str">
        <f t="shared" si="3"/>
        <v>Q1</v>
      </c>
      <c r="E78" s="6" t="s">
        <v>159</v>
      </c>
      <c r="F78" s="6" t="s">
        <v>131</v>
      </c>
      <c r="G78" s="6" t="s">
        <v>84</v>
      </c>
      <c r="H78" s="6" t="s">
        <v>114</v>
      </c>
      <c r="I78" t="s">
        <v>178</v>
      </c>
      <c r="J78" s="6" t="s">
        <v>101</v>
      </c>
      <c r="K78" s="6" t="s">
        <v>179</v>
      </c>
      <c r="L78" s="4">
        <v>6</v>
      </c>
      <c r="M78" s="5">
        <v>109000</v>
      </c>
      <c r="N78" s="4">
        <v>0</v>
      </c>
      <c r="O78" s="5">
        <v>654000</v>
      </c>
      <c r="P78" s="6" t="s">
        <v>94</v>
      </c>
      <c r="Q78" s="10" t="s">
        <v>25</v>
      </c>
      <c r="R78" s="6" t="s">
        <v>183</v>
      </c>
    </row>
    <row r="79" spans="1:18" x14ac:dyDescent="0.3">
      <c r="A79" s="6" t="s">
        <v>252</v>
      </c>
      <c r="B79" s="7">
        <v>45880</v>
      </c>
      <c r="C79" s="7" t="str">
        <f t="shared" si="2"/>
        <v>August</v>
      </c>
      <c r="D79" s="7" t="str">
        <f t="shared" si="3"/>
        <v>Q3</v>
      </c>
      <c r="E79" s="6" t="s">
        <v>63</v>
      </c>
      <c r="F79" s="6" t="s">
        <v>18</v>
      </c>
      <c r="G79" s="6" t="s">
        <v>42</v>
      </c>
      <c r="H79" s="6" t="s">
        <v>42</v>
      </c>
      <c r="I79" t="s">
        <v>169</v>
      </c>
      <c r="J79" s="6" t="s">
        <v>22</v>
      </c>
      <c r="K79" s="6" t="s">
        <v>23</v>
      </c>
      <c r="L79" s="4">
        <v>9</v>
      </c>
      <c r="M79" s="5">
        <v>45000</v>
      </c>
      <c r="N79" s="4">
        <v>0.05</v>
      </c>
      <c r="O79" s="5">
        <v>0</v>
      </c>
      <c r="P79" s="6" t="s">
        <v>35</v>
      </c>
      <c r="Q79" s="10" t="s">
        <v>46</v>
      </c>
      <c r="R79" s="6" t="s">
        <v>26</v>
      </c>
    </row>
    <row r="80" spans="1:18" x14ac:dyDescent="0.3">
      <c r="A80" s="6" t="s">
        <v>253</v>
      </c>
      <c r="B80" s="7">
        <v>45752</v>
      </c>
      <c r="C80" s="7" t="str">
        <f t="shared" si="2"/>
        <v>April</v>
      </c>
      <c r="D80" s="7" t="str">
        <f t="shared" si="3"/>
        <v>Q2</v>
      </c>
      <c r="E80" s="6" t="s">
        <v>214</v>
      </c>
      <c r="F80" s="6" t="s">
        <v>102</v>
      </c>
      <c r="G80" s="6" t="s">
        <v>19</v>
      </c>
      <c r="H80" s="6" t="s">
        <v>20</v>
      </c>
      <c r="I80" t="s">
        <v>208</v>
      </c>
      <c r="J80" s="6" t="s">
        <v>209</v>
      </c>
      <c r="K80" s="6" t="s">
        <v>65</v>
      </c>
      <c r="L80" s="4">
        <v>11</v>
      </c>
      <c r="M80" s="5">
        <v>104000</v>
      </c>
      <c r="N80" s="4">
        <v>0.05</v>
      </c>
      <c r="O80" s="5">
        <v>1086800</v>
      </c>
      <c r="P80" s="6" t="s">
        <v>79</v>
      </c>
      <c r="Q80" s="10" t="s">
        <v>145</v>
      </c>
      <c r="R80" s="6" t="s">
        <v>61</v>
      </c>
    </row>
    <row r="81" spans="1:18" x14ac:dyDescent="0.3">
      <c r="A81" s="6" t="s">
        <v>254</v>
      </c>
      <c r="B81" s="7">
        <v>45745</v>
      </c>
      <c r="C81" s="7" t="str">
        <f t="shared" si="2"/>
        <v>March</v>
      </c>
      <c r="D81" s="7" t="str">
        <f t="shared" si="3"/>
        <v>Q1</v>
      </c>
      <c r="E81" s="6" t="s">
        <v>67</v>
      </c>
      <c r="F81" s="6" t="s">
        <v>68</v>
      </c>
      <c r="G81" s="6" t="s">
        <v>69</v>
      </c>
      <c r="H81" s="6" t="s">
        <v>70</v>
      </c>
      <c r="I81" t="s">
        <v>109</v>
      </c>
      <c r="J81" s="6" t="s">
        <v>32</v>
      </c>
      <c r="K81" s="6" t="s">
        <v>44</v>
      </c>
      <c r="L81" s="4">
        <v>8</v>
      </c>
      <c r="M81" s="5">
        <v>135000</v>
      </c>
      <c r="N81" s="4">
        <v>0</v>
      </c>
      <c r="O81" s="5">
        <v>1080000</v>
      </c>
      <c r="P81" s="6" t="s">
        <v>53</v>
      </c>
      <c r="Q81" s="10" t="s">
        <v>95</v>
      </c>
      <c r="R81" s="6" t="s">
        <v>183</v>
      </c>
    </row>
    <row r="82" spans="1:18" x14ac:dyDescent="0.3">
      <c r="A82" s="6" t="s">
        <v>255</v>
      </c>
      <c r="B82" s="7">
        <v>45944</v>
      </c>
      <c r="C82" s="7" t="str">
        <f t="shared" si="2"/>
        <v>October</v>
      </c>
      <c r="D82" s="7" t="str">
        <f t="shared" si="3"/>
        <v>Q4</v>
      </c>
      <c r="E82" s="6" t="s">
        <v>159</v>
      </c>
      <c r="F82" s="6" t="s">
        <v>131</v>
      </c>
      <c r="G82" s="6" t="s">
        <v>84</v>
      </c>
      <c r="H82" s="6" t="s">
        <v>114</v>
      </c>
      <c r="I82" t="s">
        <v>71</v>
      </c>
      <c r="J82" s="6" t="s">
        <v>32</v>
      </c>
      <c r="K82" s="6" t="s">
        <v>33</v>
      </c>
      <c r="L82" s="4">
        <v>13</v>
      </c>
      <c r="M82" s="5">
        <v>287000</v>
      </c>
      <c r="N82" s="4">
        <v>0.02</v>
      </c>
      <c r="O82" s="5">
        <v>0</v>
      </c>
      <c r="P82" s="6" t="s">
        <v>35</v>
      </c>
      <c r="Q82" s="10" t="s">
        <v>95</v>
      </c>
      <c r="R82" s="6" t="s">
        <v>26</v>
      </c>
    </row>
    <row r="83" spans="1:18" x14ac:dyDescent="0.3">
      <c r="A83" s="6" t="s">
        <v>257</v>
      </c>
      <c r="B83" s="7">
        <v>45958</v>
      </c>
      <c r="C83" s="7" t="str">
        <f t="shared" si="2"/>
        <v>October</v>
      </c>
      <c r="D83" s="7" t="str">
        <f t="shared" si="3"/>
        <v>Q4</v>
      </c>
      <c r="E83" s="6" t="s">
        <v>63</v>
      </c>
      <c r="F83" s="6" t="s">
        <v>18</v>
      </c>
      <c r="G83" s="6" t="s">
        <v>42</v>
      </c>
      <c r="H83" s="6" t="s">
        <v>42</v>
      </c>
      <c r="I83" t="s">
        <v>109</v>
      </c>
      <c r="J83" s="6" t="s">
        <v>32</v>
      </c>
      <c r="K83" s="6" t="s">
        <v>44</v>
      </c>
      <c r="L83" s="4">
        <v>5</v>
      </c>
      <c r="M83" s="5">
        <v>151000</v>
      </c>
      <c r="N83" s="4">
        <v>0.05</v>
      </c>
      <c r="O83" s="5">
        <v>717250</v>
      </c>
      <c r="P83" s="6" t="s">
        <v>86</v>
      </c>
      <c r="Q83" s="10" t="s">
        <v>175</v>
      </c>
      <c r="R83" s="6" t="s">
        <v>61</v>
      </c>
    </row>
    <row r="84" spans="1:18" x14ac:dyDescent="0.3">
      <c r="A84" s="6" t="s">
        <v>259</v>
      </c>
      <c r="B84" s="7">
        <v>45936</v>
      </c>
      <c r="C84" s="7" t="str">
        <f t="shared" si="2"/>
        <v>October</v>
      </c>
      <c r="D84" s="7" t="str">
        <f t="shared" si="3"/>
        <v>Q4</v>
      </c>
      <c r="E84" s="6" t="s">
        <v>154</v>
      </c>
      <c r="F84" s="6" t="s">
        <v>131</v>
      </c>
      <c r="G84" s="6" t="s">
        <v>19</v>
      </c>
      <c r="H84" s="6" t="s">
        <v>20</v>
      </c>
      <c r="I84" t="s">
        <v>137</v>
      </c>
      <c r="J84" s="6" t="s">
        <v>138</v>
      </c>
      <c r="K84" s="6" t="s">
        <v>138</v>
      </c>
      <c r="L84" s="4">
        <v>7</v>
      </c>
      <c r="M84" s="5">
        <v>27000</v>
      </c>
      <c r="N84" s="4">
        <v>0.02</v>
      </c>
      <c r="O84" s="5">
        <v>185220</v>
      </c>
      <c r="P84" s="6" t="s">
        <v>94</v>
      </c>
      <c r="Q84" s="10" t="s">
        <v>60</v>
      </c>
      <c r="R84" s="6" t="s">
        <v>87</v>
      </c>
    </row>
    <row r="85" spans="1:18" x14ac:dyDescent="0.3">
      <c r="A85" s="6" t="s">
        <v>261</v>
      </c>
      <c r="B85" s="7">
        <v>45840</v>
      </c>
      <c r="C85" s="7" t="str">
        <f t="shared" si="2"/>
        <v>July</v>
      </c>
      <c r="D85" s="7" t="str">
        <f t="shared" si="3"/>
        <v>Q3</v>
      </c>
      <c r="E85" s="6" t="s">
        <v>113</v>
      </c>
      <c r="F85" s="6" t="s">
        <v>29</v>
      </c>
      <c r="G85" s="6" t="s">
        <v>84</v>
      </c>
      <c r="H85" s="6" t="s">
        <v>114</v>
      </c>
      <c r="I85" t="s">
        <v>21</v>
      </c>
      <c r="J85" s="6" t="s">
        <v>22</v>
      </c>
      <c r="K85" s="6" t="s">
        <v>23</v>
      </c>
      <c r="L85" s="4">
        <v>10</v>
      </c>
      <c r="M85" s="5">
        <v>19000</v>
      </c>
      <c r="N85" s="4">
        <v>0</v>
      </c>
      <c r="O85" s="5">
        <v>190000</v>
      </c>
      <c r="P85" s="6" t="s">
        <v>53</v>
      </c>
      <c r="Q85" s="10" t="s">
        <v>46</v>
      </c>
      <c r="R85" s="6" t="s">
        <v>61</v>
      </c>
    </row>
    <row r="86" spans="1:18" x14ac:dyDescent="0.3">
      <c r="A86" s="6" t="s">
        <v>262</v>
      </c>
      <c r="B86" s="7">
        <v>45777</v>
      </c>
      <c r="C86" s="7" t="str">
        <f t="shared" si="2"/>
        <v>April</v>
      </c>
      <c r="D86" s="7" t="str">
        <f t="shared" si="3"/>
        <v>Q2</v>
      </c>
      <c r="E86" s="6" t="s">
        <v>190</v>
      </c>
      <c r="F86" s="6" t="s">
        <v>191</v>
      </c>
      <c r="G86" s="6" t="s">
        <v>42</v>
      </c>
      <c r="H86" s="6" t="s">
        <v>42</v>
      </c>
      <c r="I86" t="s">
        <v>109</v>
      </c>
      <c r="J86" s="6" t="s">
        <v>32</v>
      </c>
      <c r="K86" s="6" t="s">
        <v>44</v>
      </c>
      <c r="L86" s="4">
        <v>4</v>
      </c>
      <c r="M86" s="5">
        <v>139000</v>
      </c>
      <c r="N86" s="4">
        <v>0</v>
      </c>
      <c r="O86" s="5">
        <v>0</v>
      </c>
      <c r="P86" s="6" t="s">
        <v>53</v>
      </c>
      <c r="Q86" s="10" t="s">
        <v>46</v>
      </c>
      <c r="R86" s="6" t="s">
        <v>26</v>
      </c>
    </row>
    <row r="87" spans="1:18" x14ac:dyDescent="0.3">
      <c r="A87" s="6" t="s">
        <v>597</v>
      </c>
      <c r="B87" s="7">
        <v>45844</v>
      </c>
      <c r="C87" s="7" t="str">
        <f t="shared" si="2"/>
        <v>July</v>
      </c>
      <c r="D87" s="7" t="str">
        <f t="shared" si="3"/>
        <v>Q3</v>
      </c>
      <c r="E87" s="6" t="s">
        <v>113</v>
      </c>
      <c r="F87" s="6" t="s">
        <v>29</v>
      </c>
      <c r="G87" s="6" t="s">
        <v>84</v>
      </c>
      <c r="H87" s="6" t="s">
        <v>114</v>
      </c>
      <c r="I87" t="s">
        <v>109</v>
      </c>
      <c r="J87" s="6" t="s">
        <v>32</v>
      </c>
      <c r="K87" s="6" t="s">
        <v>44</v>
      </c>
      <c r="L87" s="4">
        <v>8</v>
      </c>
      <c r="M87" s="5">
        <v>164000</v>
      </c>
      <c r="N87" s="4">
        <v>0.1</v>
      </c>
      <c r="O87" s="5">
        <v>1180800</v>
      </c>
      <c r="P87" s="6" t="s">
        <v>86</v>
      </c>
      <c r="Q87" s="10" t="s">
        <v>621</v>
      </c>
      <c r="R87" s="6" t="s">
        <v>61</v>
      </c>
    </row>
    <row r="88" spans="1:18" x14ac:dyDescent="0.3">
      <c r="A88" s="6" t="s">
        <v>265</v>
      </c>
      <c r="B88" s="7">
        <v>45673</v>
      </c>
      <c r="C88" s="7" t="str">
        <f t="shared" si="2"/>
        <v>January</v>
      </c>
      <c r="D88" s="7" t="str">
        <f t="shared" si="3"/>
        <v>Q1</v>
      </c>
      <c r="E88" s="6" t="s">
        <v>82</v>
      </c>
      <c r="F88" s="6" t="s">
        <v>83</v>
      </c>
      <c r="G88" s="6" t="s">
        <v>84</v>
      </c>
      <c r="H88" s="6" t="s">
        <v>114</v>
      </c>
      <c r="I88" t="s">
        <v>169</v>
      </c>
      <c r="J88" s="6" t="s">
        <v>22</v>
      </c>
      <c r="K88" s="6" t="s">
        <v>23</v>
      </c>
      <c r="L88" s="4">
        <v>11</v>
      </c>
      <c r="M88" s="5">
        <v>44000</v>
      </c>
      <c r="N88" s="4">
        <v>0.1</v>
      </c>
      <c r="O88" s="5">
        <v>0</v>
      </c>
      <c r="P88" s="6" t="s">
        <v>86</v>
      </c>
      <c r="Q88" s="10" t="s">
        <v>175</v>
      </c>
      <c r="R88" s="6" t="s">
        <v>26</v>
      </c>
    </row>
    <row r="89" spans="1:18" x14ac:dyDescent="0.3">
      <c r="A89" s="6" t="s">
        <v>266</v>
      </c>
      <c r="B89" s="7">
        <v>45798</v>
      </c>
      <c r="C89" s="7" t="str">
        <f t="shared" si="2"/>
        <v>May</v>
      </c>
      <c r="D89" s="7" t="str">
        <f t="shared" si="3"/>
        <v>Q2</v>
      </c>
      <c r="E89" s="6" t="s">
        <v>113</v>
      </c>
      <c r="F89" s="6" t="s">
        <v>29</v>
      </c>
      <c r="G89" s="6" t="s">
        <v>84</v>
      </c>
      <c r="H89" s="6" t="s">
        <v>114</v>
      </c>
      <c r="I89" t="s">
        <v>169</v>
      </c>
      <c r="J89" s="6" t="s">
        <v>22</v>
      </c>
      <c r="K89" s="6" t="s">
        <v>23</v>
      </c>
      <c r="L89" s="4">
        <v>11</v>
      </c>
      <c r="M89" s="5">
        <v>37000</v>
      </c>
      <c r="N89" s="4">
        <v>0.02</v>
      </c>
      <c r="O89" s="5">
        <v>398860</v>
      </c>
      <c r="P89" s="6" t="s">
        <v>35</v>
      </c>
      <c r="Q89" s="10" t="s">
        <v>75</v>
      </c>
      <c r="R89" s="6" t="s">
        <v>61</v>
      </c>
    </row>
    <row r="90" spans="1:18" x14ac:dyDescent="0.3">
      <c r="A90" s="6" t="s">
        <v>268</v>
      </c>
      <c r="B90" s="7">
        <v>45833</v>
      </c>
      <c r="C90" s="7" t="str">
        <f t="shared" si="2"/>
        <v>June</v>
      </c>
      <c r="D90" s="7" t="str">
        <f t="shared" si="3"/>
        <v>Q2</v>
      </c>
      <c r="E90" s="6" t="s">
        <v>117</v>
      </c>
      <c r="F90" s="6" t="s">
        <v>68</v>
      </c>
      <c r="G90" s="6" t="s">
        <v>123</v>
      </c>
      <c r="H90" s="6" t="s">
        <v>225</v>
      </c>
      <c r="I90" t="s">
        <v>204</v>
      </c>
      <c r="J90" s="6" t="s">
        <v>101</v>
      </c>
      <c r="K90" s="6" t="s">
        <v>156</v>
      </c>
      <c r="L90" s="4">
        <v>12</v>
      </c>
      <c r="M90" s="5">
        <v>152000</v>
      </c>
      <c r="N90" s="4">
        <v>0.05</v>
      </c>
      <c r="O90" s="5">
        <v>1732800</v>
      </c>
      <c r="P90" s="6" t="s">
        <v>53</v>
      </c>
      <c r="Q90" s="10" t="s">
        <v>60</v>
      </c>
      <c r="R90" s="6" t="s">
        <v>61</v>
      </c>
    </row>
    <row r="91" spans="1:18" x14ac:dyDescent="0.3">
      <c r="A91" s="6" t="s">
        <v>269</v>
      </c>
      <c r="B91" s="7">
        <v>45923</v>
      </c>
      <c r="C91" s="7" t="str">
        <f t="shared" si="2"/>
        <v>September</v>
      </c>
      <c r="D91" s="7" t="str">
        <f t="shared" si="3"/>
        <v>Q3</v>
      </c>
      <c r="E91" s="6" t="s">
        <v>621</v>
      </c>
      <c r="F91" s="6" t="s">
        <v>29</v>
      </c>
      <c r="G91" s="6" t="s">
        <v>30</v>
      </c>
      <c r="H91" s="6" t="s">
        <v>20</v>
      </c>
      <c r="I91" t="s">
        <v>125</v>
      </c>
      <c r="J91" s="6" t="s">
        <v>32</v>
      </c>
      <c r="K91" s="6" t="s">
        <v>52</v>
      </c>
      <c r="L91" s="4">
        <v>0</v>
      </c>
      <c r="M91" s="5">
        <v>327000</v>
      </c>
      <c r="N91" s="4">
        <v>0.05</v>
      </c>
      <c r="O91" s="5">
        <v>3417150</v>
      </c>
      <c r="P91" s="6" t="s">
        <v>35</v>
      </c>
      <c r="Q91" s="10" t="s">
        <v>25</v>
      </c>
      <c r="R91" s="6" t="s">
        <v>61</v>
      </c>
    </row>
    <row r="92" spans="1:18" x14ac:dyDescent="0.3">
      <c r="A92" s="6" t="s">
        <v>270</v>
      </c>
      <c r="B92" s="7">
        <v>45821</v>
      </c>
      <c r="C92" s="7" t="str">
        <f t="shared" si="2"/>
        <v>June</v>
      </c>
      <c r="D92" s="7" t="str">
        <f t="shared" si="3"/>
        <v>Q2</v>
      </c>
      <c r="E92" s="6" t="s">
        <v>89</v>
      </c>
      <c r="F92" s="6" t="s">
        <v>90</v>
      </c>
      <c r="G92" s="6" t="s">
        <v>19</v>
      </c>
      <c r="H92" s="6" t="s">
        <v>20</v>
      </c>
      <c r="I92" t="s">
        <v>125</v>
      </c>
      <c r="J92" s="6" t="s">
        <v>32</v>
      </c>
      <c r="K92" s="6" t="s">
        <v>52</v>
      </c>
      <c r="L92" s="4">
        <v>2</v>
      </c>
      <c r="M92" s="5">
        <v>400000</v>
      </c>
      <c r="N92" s="4">
        <v>0</v>
      </c>
      <c r="O92" s="5">
        <v>0</v>
      </c>
      <c r="P92" s="6" t="s">
        <v>53</v>
      </c>
      <c r="Q92" s="10" t="s">
        <v>36</v>
      </c>
      <c r="R92" s="6" t="s">
        <v>26</v>
      </c>
    </row>
    <row r="93" spans="1:18" x14ac:dyDescent="0.3">
      <c r="A93" s="6" t="s">
        <v>271</v>
      </c>
      <c r="B93" s="7">
        <v>45818</v>
      </c>
      <c r="C93" s="7" t="str">
        <f t="shared" si="2"/>
        <v>June</v>
      </c>
      <c r="D93" s="7" t="str">
        <f t="shared" si="3"/>
        <v>Q2</v>
      </c>
      <c r="E93" s="6" t="s">
        <v>159</v>
      </c>
      <c r="F93" s="6" t="s">
        <v>131</v>
      </c>
      <c r="G93" s="6" t="s">
        <v>84</v>
      </c>
      <c r="H93" s="6" t="s">
        <v>114</v>
      </c>
      <c r="I93" t="s">
        <v>620</v>
      </c>
      <c r="J93" s="6" t="s">
        <v>101</v>
      </c>
      <c r="K93" s="6" t="s">
        <v>102</v>
      </c>
      <c r="L93" s="4">
        <v>9</v>
      </c>
      <c r="M93" s="5">
        <v>122000</v>
      </c>
      <c r="N93" s="4">
        <v>0.02</v>
      </c>
      <c r="O93" s="5">
        <v>1076040</v>
      </c>
      <c r="P93" s="6" t="s">
        <v>53</v>
      </c>
      <c r="Q93" s="10" t="s">
        <v>25</v>
      </c>
      <c r="R93" s="6" t="s">
        <v>61</v>
      </c>
    </row>
    <row r="94" spans="1:18" x14ac:dyDescent="0.3">
      <c r="A94" s="6" t="s">
        <v>274</v>
      </c>
      <c r="B94" s="7">
        <v>45886</v>
      </c>
      <c r="C94" s="7" t="str">
        <f t="shared" si="2"/>
        <v>August</v>
      </c>
      <c r="D94" s="7" t="str">
        <f t="shared" si="3"/>
        <v>Q3</v>
      </c>
      <c r="E94" s="6" t="s">
        <v>67</v>
      </c>
      <c r="F94" s="6" t="s">
        <v>68</v>
      </c>
      <c r="G94" s="6" t="s">
        <v>69</v>
      </c>
      <c r="H94" s="6" t="s">
        <v>70</v>
      </c>
      <c r="I94" t="s">
        <v>21</v>
      </c>
      <c r="J94" s="6" t="s">
        <v>22</v>
      </c>
      <c r="K94" s="6" t="s">
        <v>23</v>
      </c>
      <c r="L94" s="4">
        <v>9</v>
      </c>
      <c r="M94" s="5">
        <v>20000</v>
      </c>
      <c r="N94" s="4">
        <v>0.05</v>
      </c>
      <c r="O94" s="5">
        <v>171000</v>
      </c>
      <c r="P94" s="6" t="s">
        <v>35</v>
      </c>
      <c r="Q94" s="10" t="s">
        <v>60</v>
      </c>
      <c r="R94" s="6" t="s">
        <v>183</v>
      </c>
    </row>
    <row r="95" spans="1:18" x14ac:dyDescent="0.3">
      <c r="A95" s="6" t="s">
        <v>275</v>
      </c>
      <c r="B95" s="7">
        <v>45774</v>
      </c>
      <c r="C95" s="7" t="str">
        <f t="shared" si="2"/>
        <v>April</v>
      </c>
      <c r="D95" s="7" t="str">
        <f t="shared" si="3"/>
        <v>Q2</v>
      </c>
      <c r="E95" s="6" t="s">
        <v>82</v>
      </c>
      <c r="F95" s="6" t="s">
        <v>83</v>
      </c>
      <c r="G95" s="6" t="s">
        <v>84</v>
      </c>
      <c r="H95" s="6" t="s">
        <v>114</v>
      </c>
      <c r="I95" t="s">
        <v>57</v>
      </c>
      <c r="J95" s="6" t="s">
        <v>32</v>
      </c>
      <c r="K95" s="6" t="s">
        <v>58</v>
      </c>
      <c r="L95" s="4">
        <v>13</v>
      </c>
      <c r="M95" s="5">
        <v>713000</v>
      </c>
      <c r="N95" s="4">
        <v>0</v>
      </c>
      <c r="O95" s="5">
        <v>9269000</v>
      </c>
      <c r="P95" s="6" t="s">
        <v>35</v>
      </c>
      <c r="Q95" s="10" t="s">
        <v>75</v>
      </c>
      <c r="R95" s="6" t="s">
        <v>61</v>
      </c>
    </row>
    <row r="96" spans="1:18" x14ac:dyDescent="0.3">
      <c r="A96" s="6" t="s">
        <v>276</v>
      </c>
      <c r="B96" s="7">
        <v>45869</v>
      </c>
      <c r="C96" s="7" t="str">
        <f t="shared" si="2"/>
        <v>July</v>
      </c>
      <c r="D96" s="7" t="str">
        <f t="shared" si="3"/>
        <v>Q3</v>
      </c>
      <c r="E96" s="6" t="s">
        <v>39</v>
      </c>
      <c r="F96" s="6" t="s">
        <v>40</v>
      </c>
      <c r="G96" s="6" t="s">
        <v>42</v>
      </c>
      <c r="H96" s="6" t="s">
        <v>42</v>
      </c>
      <c r="I96" t="s">
        <v>144</v>
      </c>
      <c r="J96" s="6" t="s">
        <v>32</v>
      </c>
      <c r="K96" s="6" t="s">
        <v>44</v>
      </c>
      <c r="L96" s="4">
        <v>11</v>
      </c>
      <c r="M96" s="5">
        <v>223000</v>
      </c>
      <c r="N96" s="4">
        <v>0</v>
      </c>
      <c r="O96" s="5">
        <v>2453000</v>
      </c>
      <c r="P96" s="6" t="s">
        <v>53</v>
      </c>
      <c r="Q96" s="10" t="s">
        <v>95</v>
      </c>
      <c r="R96" s="6" t="s">
        <v>61</v>
      </c>
    </row>
    <row r="97" spans="1:18" x14ac:dyDescent="0.3">
      <c r="A97" s="6" t="s">
        <v>280</v>
      </c>
      <c r="B97" s="7">
        <v>45988</v>
      </c>
      <c r="C97" s="7" t="str">
        <f t="shared" si="2"/>
        <v>November</v>
      </c>
      <c r="D97" s="7" t="str">
        <f t="shared" si="3"/>
        <v>Q4</v>
      </c>
      <c r="E97" s="6" t="s">
        <v>106</v>
      </c>
      <c r="F97" s="6" t="s">
        <v>50</v>
      </c>
      <c r="G97" s="6" t="s">
        <v>107</v>
      </c>
      <c r="H97" s="6" t="s">
        <v>108</v>
      </c>
      <c r="I97" t="s">
        <v>64</v>
      </c>
      <c r="J97" s="6" t="s">
        <v>32</v>
      </c>
      <c r="K97" s="6" t="s">
        <v>65</v>
      </c>
      <c r="L97" s="4">
        <v>11</v>
      </c>
      <c r="M97" s="5">
        <v>542000</v>
      </c>
      <c r="N97" s="4">
        <v>0.1</v>
      </c>
      <c r="O97" s="5">
        <v>5365800</v>
      </c>
      <c r="P97" s="6" t="s">
        <v>86</v>
      </c>
      <c r="Q97" s="10" t="s">
        <v>60</v>
      </c>
      <c r="R97" s="6" t="s">
        <v>111</v>
      </c>
    </row>
    <row r="98" spans="1:18" x14ac:dyDescent="0.3">
      <c r="A98" s="6" t="s">
        <v>281</v>
      </c>
      <c r="B98" s="7">
        <v>45908</v>
      </c>
      <c r="C98" s="7" t="str">
        <f t="shared" si="2"/>
        <v>September</v>
      </c>
      <c r="D98" s="7" t="str">
        <f t="shared" si="3"/>
        <v>Q3</v>
      </c>
      <c r="E98" s="6" t="s">
        <v>154</v>
      </c>
      <c r="F98" s="6" t="s">
        <v>131</v>
      </c>
      <c r="G98" s="6" t="s">
        <v>19</v>
      </c>
      <c r="H98" s="6" t="s">
        <v>20</v>
      </c>
      <c r="I98" t="s">
        <v>169</v>
      </c>
      <c r="J98" s="6" t="s">
        <v>22</v>
      </c>
      <c r="K98" s="6" t="s">
        <v>23</v>
      </c>
      <c r="L98" s="4">
        <v>3</v>
      </c>
      <c r="M98" s="5">
        <v>44000</v>
      </c>
      <c r="N98" s="4">
        <v>0</v>
      </c>
      <c r="O98" s="5">
        <v>132000</v>
      </c>
      <c r="P98" s="6" t="s">
        <v>53</v>
      </c>
      <c r="Q98" s="10" t="s">
        <v>60</v>
      </c>
      <c r="R98" s="6" t="s">
        <v>111</v>
      </c>
    </row>
    <row r="99" spans="1:18" x14ac:dyDescent="0.3">
      <c r="A99" s="6" t="s">
        <v>282</v>
      </c>
      <c r="B99" s="7">
        <v>45909</v>
      </c>
      <c r="C99" s="7" t="str">
        <f t="shared" si="2"/>
        <v>September</v>
      </c>
      <c r="D99" s="7" t="str">
        <f t="shared" si="3"/>
        <v>Q3</v>
      </c>
      <c r="E99" s="6" t="s">
        <v>154</v>
      </c>
      <c r="F99" s="6" t="s">
        <v>131</v>
      </c>
      <c r="G99" s="6" t="s">
        <v>19</v>
      </c>
      <c r="H99" s="6" t="s">
        <v>20</v>
      </c>
      <c r="I99" t="s">
        <v>109</v>
      </c>
      <c r="J99" s="6" t="s">
        <v>32</v>
      </c>
      <c r="K99" s="6" t="s">
        <v>44</v>
      </c>
      <c r="L99" s="4">
        <v>13</v>
      </c>
      <c r="M99" s="5">
        <v>156000</v>
      </c>
      <c r="N99" s="4">
        <v>0.02</v>
      </c>
      <c r="O99" s="5">
        <v>1987440</v>
      </c>
      <c r="P99" s="6" t="s">
        <v>53</v>
      </c>
      <c r="Q99" s="10" t="s">
        <v>175</v>
      </c>
      <c r="R99" s="6" t="s">
        <v>61</v>
      </c>
    </row>
    <row r="100" spans="1:18" x14ac:dyDescent="0.3">
      <c r="A100" s="6" t="s">
        <v>284</v>
      </c>
      <c r="B100" s="7">
        <v>45974</v>
      </c>
      <c r="C100" s="7" t="str">
        <f t="shared" si="2"/>
        <v>November</v>
      </c>
      <c r="D100" s="7" t="str">
        <f t="shared" si="3"/>
        <v>Q4</v>
      </c>
      <c r="E100" s="6" t="s">
        <v>17</v>
      </c>
      <c r="F100" s="6" t="s">
        <v>18</v>
      </c>
      <c r="G100" s="6" t="s">
        <v>19</v>
      </c>
      <c r="H100" s="6" t="s">
        <v>20</v>
      </c>
      <c r="I100" t="s">
        <v>620</v>
      </c>
      <c r="J100" s="6" t="s">
        <v>101</v>
      </c>
      <c r="K100" s="6" t="s">
        <v>102</v>
      </c>
      <c r="L100" s="4">
        <v>5</v>
      </c>
      <c r="M100" s="5">
        <v>109000</v>
      </c>
      <c r="N100" s="4">
        <v>0.05</v>
      </c>
      <c r="O100" s="5">
        <v>517750</v>
      </c>
      <c r="P100" s="6" t="s">
        <v>86</v>
      </c>
      <c r="Q100" s="10" t="s">
        <v>75</v>
      </c>
      <c r="R100" s="6" t="s">
        <v>183</v>
      </c>
    </row>
    <row r="101" spans="1:18" x14ac:dyDescent="0.3">
      <c r="A101" s="6" t="s">
        <v>285</v>
      </c>
      <c r="B101" s="7">
        <v>45689</v>
      </c>
      <c r="C101" s="7" t="str">
        <f t="shared" si="2"/>
        <v>February</v>
      </c>
      <c r="D101" s="7" t="str">
        <f t="shared" si="3"/>
        <v>Q1</v>
      </c>
      <c r="E101" s="6" t="s">
        <v>17</v>
      </c>
      <c r="F101" s="6" t="s">
        <v>18</v>
      </c>
      <c r="G101" s="6" t="s">
        <v>19</v>
      </c>
      <c r="H101" s="6" t="s">
        <v>20</v>
      </c>
      <c r="I101" t="s">
        <v>204</v>
      </c>
      <c r="J101" s="6" t="s">
        <v>101</v>
      </c>
      <c r="K101" s="6" t="s">
        <v>156</v>
      </c>
      <c r="L101" s="4">
        <v>9</v>
      </c>
      <c r="M101" s="5">
        <v>165000</v>
      </c>
      <c r="N101" s="4">
        <v>0.1</v>
      </c>
      <c r="O101" s="5">
        <v>1336500</v>
      </c>
      <c r="P101" s="6" t="s">
        <v>86</v>
      </c>
      <c r="Q101" s="10" t="s">
        <v>60</v>
      </c>
      <c r="R101" s="6" t="s">
        <v>61</v>
      </c>
    </row>
    <row r="102" spans="1:18" x14ac:dyDescent="0.3">
      <c r="A102" s="6" t="s">
        <v>286</v>
      </c>
      <c r="B102" s="7">
        <v>46015</v>
      </c>
      <c r="C102" s="7" t="str">
        <f t="shared" si="2"/>
        <v>December</v>
      </c>
      <c r="D102" s="7" t="str">
        <f t="shared" si="3"/>
        <v>Q4</v>
      </c>
      <c r="E102" s="6" t="s">
        <v>287</v>
      </c>
      <c r="F102" s="6" t="s">
        <v>22</v>
      </c>
      <c r="G102" s="6" t="s">
        <v>19</v>
      </c>
      <c r="H102" s="6" t="s">
        <v>20</v>
      </c>
      <c r="I102" t="s">
        <v>137</v>
      </c>
      <c r="J102" s="6" t="s">
        <v>138</v>
      </c>
      <c r="K102" s="6" t="s">
        <v>138</v>
      </c>
      <c r="L102" s="4">
        <v>11</v>
      </c>
      <c r="M102" s="5">
        <v>31000</v>
      </c>
      <c r="N102" s="4">
        <v>0.05</v>
      </c>
      <c r="O102" s="5">
        <v>0</v>
      </c>
      <c r="P102" s="6" t="s">
        <v>86</v>
      </c>
      <c r="Q102" s="10" t="s">
        <v>25</v>
      </c>
      <c r="R102" s="6" t="s">
        <v>26</v>
      </c>
    </row>
    <row r="103" spans="1:18" x14ac:dyDescent="0.3">
      <c r="A103" s="6" t="s">
        <v>288</v>
      </c>
      <c r="B103" s="7">
        <v>45771</v>
      </c>
      <c r="C103" s="7" t="str">
        <f t="shared" si="2"/>
        <v>April</v>
      </c>
      <c r="D103" s="7" t="str">
        <f t="shared" si="3"/>
        <v>Q2</v>
      </c>
      <c r="E103" s="6" t="s">
        <v>67</v>
      </c>
      <c r="F103" s="6" t="s">
        <v>68</v>
      </c>
      <c r="G103" s="6" t="s">
        <v>69</v>
      </c>
      <c r="H103" s="6" t="s">
        <v>70</v>
      </c>
      <c r="I103" t="s">
        <v>235</v>
      </c>
      <c r="J103" s="6" t="s">
        <v>101</v>
      </c>
      <c r="K103" s="6" t="s">
        <v>156</v>
      </c>
      <c r="L103" s="4">
        <v>4</v>
      </c>
      <c r="M103" s="5">
        <v>191000</v>
      </c>
      <c r="N103" s="4">
        <v>0.02</v>
      </c>
      <c r="O103" s="5">
        <v>748720</v>
      </c>
      <c r="P103" s="6" t="s">
        <v>53</v>
      </c>
      <c r="Q103" s="10" t="s">
        <v>145</v>
      </c>
      <c r="R103" s="6" t="s">
        <v>61</v>
      </c>
    </row>
    <row r="104" spans="1:18" x14ac:dyDescent="0.3">
      <c r="A104" s="6" t="s">
        <v>290</v>
      </c>
      <c r="B104" s="7">
        <v>45716</v>
      </c>
      <c r="C104" s="7" t="str">
        <f t="shared" si="2"/>
        <v>February</v>
      </c>
      <c r="D104" s="7" t="str">
        <f t="shared" si="3"/>
        <v>Q1</v>
      </c>
      <c r="E104" s="6" t="s">
        <v>49</v>
      </c>
      <c r="F104" s="6" t="s">
        <v>50</v>
      </c>
      <c r="G104" s="6" t="s">
        <v>19</v>
      </c>
      <c r="H104" s="6" t="s">
        <v>20</v>
      </c>
      <c r="I104" t="s">
        <v>128</v>
      </c>
      <c r="J104" s="6" t="s">
        <v>22</v>
      </c>
      <c r="K104" s="6" t="s">
        <v>92</v>
      </c>
      <c r="L104" s="4">
        <v>1</v>
      </c>
      <c r="M104" s="5">
        <v>205000</v>
      </c>
      <c r="N104" s="4">
        <v>0.02</v>
      </c>
      <c r="O104" s="5">
        <v>200900</v>
      </c>
      <c r="P104" s="6" t="s">
        <v>53</v>
      </c>
      <c r="Q104" s="10" t="s">
        <v>75</v>
      </c>
      <c r="R104" s="6" t="s">
        <v>111</v>
      </c>
    </row>
    <row r="105" spans="1:18" x14ac:dyDescent="0.3">
      <c r="A105" s="6" t="s">
        <v>292</v>
      </c>
      <c r="B105" s="7">
        <v>45870</v>
      </c>
      <c r="C105" s="7" t="str">
        <f t="shared" si="2"/>
        <v>August</v>
      </c>
      <c r="D105" s="7" t="str">
        <f t="shared" si="3"/>
        <v>Q3</v>
      </c>
      <c r="E105" s="6" t="s">
        <v>159</v>
      </c>
      <c r="F105" s="6" t="s">
        <v>131</v>
      </c>
      <c r="G105" s="6" t="s">
        <v>84</v>
      </c>
      <c r="H105" s="6" t="s">
        <v>114</v>
      </c>
      <c r="I105" t="s">
        <v>169</v>
      </c>
      <c r="J105" s="6" t="s">
        <v>22</v>
      </c>
      <c r="K105" s="6" t="s">
        <v>23</v>
      </c>
      <c r="L105" s="4">
        <v>8</v>
      </c>
      <c r="M105" s="5">
        <v>43000</v>
      </c>
      <c r="N105" s="4">
        <v>0.1</v>
      </c>
      <c r="O105" s="5">
        <v>309600</v>
      </c>
      <c r="P105" s="6" t="s">
        <v>94</v>
      </c>
      <c r="Q105" s="10" t="s">
        <v>36</v>
      </c>
      <c r="R105" s="6" t="s">
        <v>61</v>
      </c>
    </row>
    <row r="106" spans="1:18" x14ac:dyDescent="0.3">
      <c r="A106" s="6" t="s">
        <v>293</v>
      </c>
      <c r="B106" s="7">
        <v>45685</v>
      </c>
      <c r="C106" s="7" t="str">
        <f t="shared" si="2"/>
        <v>January</v>
      </c>
      <c r="D106" s="7" t="str">
        <f t="shared" si="3"/>
        <v>Q1</v>
      </c>
      <c r="E106" s="6" t="s">
        <v>135</v>
      </c>
      <c r="F106" s="6" t="s">
        <v>50</v>
      </c>
      <c r="G106" s="6" t="s">
        <v>107</v>
      </c>
      <c r="H106" s="6" t="s">
        <v>108</v>
      </c>
      <c r="I106" t="s">
        <v>64</v>
      </c>
      <c r="J106" s="6" t="s">
        <v>32</v>
      </c>
      <c r="K106" s="6" t="s">
        <v>65</v>
      </c>
      <c r="L106" s="4">
        <v>14</v>
      </c>
      <c r="M106" s="5">
        <v>538000</v>
      </c>
      <c r="N106" s="4">
        <v>0.1</v>
      </c>
      <c r="O106" s="5">
        <v>6778800</v>
      </c>
      <c r="P106" s="6" t="s">
        <v>35</v>
      </c>
      <c r="Q106" s="10" t="s">
        <v>46</v>
      </c>
      <c r="R106" s="6" t="s">
        <v>87</v>
      </c>
    </row>
    <row r="107" spans="1:18" x14ac:dyDescent="0.3">
      <c r="A107" s="6" t="s">
        <v>294</v>
      </c>
      <c r="B107" s="7">
        <v>45920</v>
      </c>
      <c r="C107" s="7" t="str">
        <f t="shared" si="2"/>
        <v>September</v>
      </c>
      <c r="D107" s="7" t="str">
        <f t="shared" si="3"/>
        <v>Q3</v>
      </c>
      <c r="E107" s="6" t="s">
        <v>159</v>
      </c>
      <c r="F107" s="6" t="s">
        <v>131</v>
      </c>
      <c r="G107" s="6" t="s">
        <v>84</v>
      </c>
      <c r="H107" s="6" t="s">
        <v>114</v>
      </c>
      <c r="I107" t="s">
        <v>295</v>
      </c>
      <c r="J107" s="6" t="s">
        <v>32</v>
      </c>
      <c r="K107" s="6" t="s">
        <v>58</v>
      </c>
      <c r="L107" s="4">
        <v>6</v>
      </c>
      <c r="M107" s="5">
        <v>381000</v>
      </c>
      <c r="N107" s="4">
        <v>0.02</v>
      </c>
      <c r="O107" s="5">
        <v>2240280</v>
      </c>
      <c r="P107" s="6" t="s">
        <v>35</v>
      </c>
      <c r="Q107" s="10" t="s">
        <v>145</v>
      </c>
      <c r="R107" s="6" t="s">
        <v>61</v>
      </c>
    </row>
    <row r="108" spans="1:18" x14ac:dyDescent="0.3">
      <c r="A108" s="6" t="s">
        <v>296</v>
      </c>
      <c r="B108" s="7">
        <v>45743</v>
      </c>
      <c r="C108" s="7" t="str">
        <f t="shared" si="2"/>
        <v>March</v>
      </c>
      <c r="D108" s="7" t="str">
        <f t="shared" si="3"/>
        <v>Q1</v>
      </c>
      <c r="E108" s="6" t="s">
        <v>117</v>
      </c>
      <c r="F108" s="6" t="s">
        <v>68</v>
      </c>
      <c r="G108" s="6" t="s">
        <v>123</v>
      </c>
      <c r="H108" s="6" t="s">
        <v>225</v>
      </c>
      <c r="I108" t="s">
        <v>208</v>
      </c>
      <c r="J108" s="6" t="s">
        <v>209</v>
      </c>
      <c r="K108" s="6" t="s">
        <v>65</v>
      </c>
      <c r="L108" s="4">
        <v>1</v>
      </c>
      <c r="M108" s="5">
        <v>108000</v>
      </c>
      <c r="N108" s="4">
        <v>0</v>
      </c>
      <c r="O108" s="5">
        <v>108000</v>
      </c>
      <c r="P108" s="6" t="s">
        <v>53</v>
      </c>
      <c r="Q108" s="10" t="s">
        <v>95</v>
      </c>
      <c r="R108" s="6" t="s">
        <v>183</v>
      </c>
    </row>
    <row r="109" spans="1:18" x14ac:dyDescent="0.3">
      <c r="A109" s="6" t="s">
        <v>298</v>
      </c>
      <c r="B109" s="7">
        <v>45806</v>
      </c>
      <c r="C109" s="7" t="str">
        <f t="shared" si="2"/>
        <v>May</v>
      </c>
      <c r="D109" s="7" t="str">
        <f t="shared" si="3"/>
        <v>Q2</v>
      </c>
      <c r="E109" s="6" t="s">
        <v>287</v>
      </c>
      <c r="F109" s="6" t="s">
        <v>22</v>
      </c>
      <c r="G109" s="6" t="s">
        <v>19</v>
      </c>
      <c r="H109" s="6" t="s">
        <v>20</v>
      </c>
      <c r="I109" t="s">
        <v>128</v>
      </c>
      <c r="J109" s="6" t="s">
        <v>22</v>
      </c>
      <c r="K109" s="6" t="s">
        <v>92</v>
      </c>
      <c r="L109" s="4">
        <v>13</v>
      </c>
      <c r="M109" s="5">
        <v>206000</v>
      </c>
      <c r="N109" s="4">
        <v>0.05</v>
      </c>
      <c r="O109" s="5">
        <v>2544100</v>
      </c>
      <c r="P109" s="6" t="s">
        <v>171</v>
      </c>
      <c r="Q109" s="10" t="s">
        <v>60</v>
      </c>
      <c r="R109" s="6" t="s">
        <v>87</v>
      </c>
    </row>
    <row r="110" spans="1:18" x14ac:dyDescent="0.3">
      <c r="A110" s="6" t="s">
        <v>299</v>
      </c>
      <c r="B110" s="7">
        <v>45712</v>
      </c>
      <c r="C110" s="7" t="str">
        <f t="shared" si="2"/>
        <v>February</v>
      </c>
      <c r="D110" s="7" t="str">
        <f t="shared" si="3"/>
        <v>Q1</v>
      </c>
      <c r="E110" s="6" t="s">
        <v>82</v>
      </c>
      <c r="F110" s="6" t="s">
        <v>83</v>
      </c>
      <c r="G110" s="6" t="s">
        <v>84</v>
      </c>
      <c r="H110" s="6" t="s">
        <v>114</v>
      </c>
      <c r="I110" t="s">
        <v>144</v>
      </c>
      <c r="J110" s="6" t="s">
        <v>32</v>
      </c>
      <c r="K110" s="6" t="s">
        <v>44</v>
      </c>
      <c r="L110" s="4">
        <v>11</v>
      </c>
      <c r="M110" s="5">
        <v>243000</v>
      </c>
      <c r="N110" s="4">
        <v>0.02</v>
      </c>
      <c r="O110" s="5">
        <v>2619540</v>
      </c>
      <c r="P110" s="6" t="s">
        <v>617</v>
      </c>
      <c r="Q110" s="10" t="s">
        <v>95</v>
      </c>
      <c r="R110" s="6" t="s">
        <v>61</v>
      </c>
    </row>
    <row r="111" spans="1:18" x14ac:dyDescent="0.3">
      <c r="A111" s="6" t="s">
        <v>300</v>
      </c>
      <c r="B111" s="7">
        <v>45737</v>
      </c>
      <c r="C111" s="7" t="str">
        <f t="shared" si="2"/>
        <v>March</v>
      </c>
      <c r="D111" s="7" t="str">
        <f t="shared" si="3"/>
        <v>Q1</v>
      </c>
      <c r="E111" s="6" t="s">
        <v>67</v>
      </c>
      <c r="F111" s="6" t="s">
        <v>68</v>
      </c>
      <c r="G111" s="6" t="s">
        <v>69</v>
      </c>
      <c r="H111" s="6" t="s">
        <v>70</v>
      </c>
      <c r="I111" t="s">
        <v>74</v>
      </c>
      <c r="J111" s="6" t="s">
        <v>32</v>
      </c>
      <c r="K111" s="6" t="s">
        <v>33</v>
      </c>
      <c r="L111" s="4">
        <v>8</v>
      </c>
      <c r="M111" s="5">
        <v>83000</v>
      </c>
      <c r="N111" s="4">
        <v>0.05</v>
      </c>
      <c r="O111" s="5">
        <v>630800</v>
      </c>
      <c r="P111" s="6" t="s">
        <v>53</v>
      </c>
      <c r="Q111" s="10" t="s">
        <v>175</v>
      </c>
      <c r="R111" s="6" t="s">
        <v>183</v>
      </c>
    </row>
    <row r="112" spans="1:18" x14ac:dyDescent="0.3">
      <c r="A112" s="6" t="s">
        <v>302</v>
      </c>
      <c r="B112" s="7">
        <v>45962</v>
      </c>
      <c r="C112" s="7" t="str">
        <f t="shared" si="2"/>
        <v>November</v>
      </c>
      <c r="D112" s="7" t="str">
        <f t="shared" si="3"/>
        <v>Q4</v>
      </c>
      <c r="E112" s="6" t="s">
        <v>17</v>
      </c>
      <c r="F112" s="6" t="s">
        <v>18</v>
      </c>
      <c r="G112" s="6" t="s">
        <v>19</v>
      </c>
      <c r="H112" s="6" t="s">
        <v>20</v>
      </c>
      <c r="I112" t="s">
        <v>109</v>
      </c>
      <c r="J112" s="6" t="s">
        <v>32</v>
      </c>
      <c r="K112" s="6" t="s">
        <v>44</v>
      </c>
      <c r="L112" s="4">
        <v>9</v>
      </c>
      <c r="M112" s="5">
        <v>156000</v>
      </c>
      <c r="N112" s="4">
        <v>0</v>
      </c>
      <c r="O112" s="5">
        <v>1404000</v>
      </c>
      <c r="P112" s="6" t="s">
        <v>94</v>
      </c>
      <c r="Q112" s="10" t="s">
        <v>25</v>
      </c>
      <c r="R112" s="6" t="s">
        <v>61</v>
      </c>
    </row>
    <row r="113" spans="1:18" x14ac:dyDescent="0.3">
      <c r="A113" s="6" t="s">
        <v>303</v>
      </c>
      <c r="B113" s="7">
        <v>45664</v>
      </c>
      <c r="C113" s="7" t="str">
        <f t="shared" si="2"/>
        <v>January</v>
      </c>
      <c r="D113" s="7" t="str">
        <f t="shared" si="3"/>
        <v>Q1</v>
      </c>
      <c r="E113" s="6" t="s">
        <v>214</v>
      </c>
      <c r="F113" s="6" t="s">
        <v>102</v>
      </c>
      <c r="G113" s="6" t="s">
        <v>19</v>
      </c>
      <c r="H113" s="6" t="s">
        <v>20</v>
      </c>
      <c r="I113" t="s">
        <v>57</v>
      </c>
      <c r="J113" s="6" t="s">
        <v>32</v>
      </c>
      <c r="K113" s="6" t="s">
        <v>58</v>
      </c>
      <c r="L113" s="4">
        <v>15</v>
      </c>
      <c r="M113" s="5">
        <v>654000</v>
      </c>
      <c r="N113" s="4">
        <v>0.1</v>
      </c>
      <c r="O113" s="5">
        <v>8829000</v>
      </c>
      <c r="P113" s="6" t="s">
        <v>616</v>
      </c>
      <c r="Q113" s="10" t="s">
        <v>175</v>
      </c>
      <c r="R113" s="6" t="s">
        <v>183</v>
      </c>
    </row>
    <row r="114" spans="1:18" x14ac:dyDescent="0.3">
      <c r="A114" s="6" t="s">
        <v>304</v>
      </c>
      <c r="B114" s="7">
        <v>45845</v>
      </c>
      <c r="C114" s="7" t="str">
        <f t="shared" si="2"/>
        <v>July</v>
      </c>
      <c r="D114" s="7" t="str">
        <f t="shared" si="3"/>
        <v>Q3</v>
      </c>
      <c r="E114" s="6" t="s">
        <v>89</v>
      </c>
      <c r="F114" s="6" t="s">
        <v>90</v>
      </c>
      <c r="G114" s="6" t="s">
        <v>19</v>
      </c>
      <c r="H114" s="6" t="s">
        <v>20</v>
      </c>
      <c r="I114" t="s">
        <v>57</v>
      </c>
      <c r="J114" s="6" t="s">
        <v>32</v>
      </c>
      <c r="K114" s="6" t="s">
        <v>58</v>
      </c>
      <c r="L114" s="4">
        <v>10</v>
      </c>
      <c r="M114" s="5">
        <v>603000</v>
      </c>
      <c r="N114" s="4">
        <v>0</v>
      </c>
      <c r="O114" s="5">
        <v>6030000</v>
      </c>
      <c r="P114" s="6" t="s">
        <v>94</v>
      </c>
      <c r="Q114" s="10" t="s">
        <v>145</v>
      </c>
      <c r="R114" s="6" t="s">
        <v>183</v>
      </c>
    </row>
    <row r="115" spans="1:18" x14ac:dyDescent="0.3">
      <c r="A115" s="6" t="s">
        <v>305</v>
      </c>
      <c r="B115" s="7">
        <v>45933</v>
      </c>
      <c r="C115" s="7" t="str">
        <f t="shared" si="2"/>
        <v>October</v>
      </c>
      <c r="D115" s="7" t="str">
        <f t="shared" si="3"/>
        <v>Q4</v>
      </c>
      <c r="E115" s="6" t="s">
        <v>28</v>
      </c>
      <c r="F115" s="6" t="s">
        <v>29</v>
      </c>
      <c r="G115" s="6" t="s">
        <v>30</v>
      </c>
      <c r="H115" s="6" t="s">
        <v>20</v>
      </c>
      <c r="I115" t="s">
        <v>137</v>
      </c>
      <c r="J115" s="6" t="s">
        <v>138</v>
      </c>
      <c r="K115" s="6" t="s">
        <v>138</v>
      </c>
      <c r="L115" s="4">
        <v>13</v>
      </c>
      <c r="M115" s="5">
        <v>30000</v>
      </c>
      <c r="N115" s="4">
        <v>0.05</v>
      </c>
      <c r="O115" s="5">
        <v>370500</v>
      </c>
      <c r="P115" s="6" t="s">
        <v>53</v>
      </c>
      <c r="Q115" s="10" t="s">
        <v>25</v>
      </c>
      <c r="R115" s="6" t="s">
        <v>111</v>
      </c>
    </row>
    <row r="116" spans="1:18" x14ac:dyDescent="0.3">
      <c r="A116" s="6" t="s">
        <v>306</v>
      </c>
      <c r="B116" s="7">
        <v>45920</v>
      </c>
      <c r="C116" s="7" t="str">
        <f t="shared" si="2"/>
        <v>September</v>
      </c>
      <c r="D116" s="7" t="str">
        <f t="shared" si="3"/>
        <v>Q3</v>
      </c>
      <c r="E116" s="6" t="s">
        <v>28</v>
      </c>
      <c r="F116" s="6" t="s">
        <v>29</v>
      </c>
      <c r="G116" s="6" t="s">
        <v>30</v>
      </c>
      <c r="H116" s="6" t="s">
        <v>20</v>
      </c>
      <c r="I116" t="s">
        <v>71</v>
      </c>
      <c r="J116" s="6" t="s">
        <v>32</v>
      </c>
      <c r="K116" s="6" t="s">
        <v>33</v>
      </c>
      <c r="L116" s="4">
        <v>4</v>
      </c>
      <c r="M116" s="5">
        <v>274000</v>
      </c>
      <c r="N116" s="4">
        <v>0</v>
      </c>
      <c r="O116" s="5">
        <v>1096000</v>
      </c>
      <c r="P116" s="6" t="s">
        <v>94</v>
      </c>
      <c r="Q116" s="10" t="s">
        <v>75</v>
      </c>
      <c r="R116" s="6" t="s">
        <v>61</v>
      </c>
    </row>
    <row r="117" spans="1:18" x14ac:dyDescent="0.3">
      <c r="A117" s="6" t="s">
        <v>308</v>
      </c>
      <c r="B117" s="7">
        <v>45674</v>
      </c>
      <c r="C117" s="7" t="str">
        <f t="shared" si="2"/>
        <v>January</v>
      </c>
      <c r="D117" s="7" t="str">
        <f t="shared" si="3"/>
        <v>Q1</v>
      </c>
      <c r="E117" s="6" t="s">
        <v>82</v>
      </c>
      <c r="F117" s="6" t="s">
        <v>83</v>
      </c>
      <c r="G117" s="6" t="s">
        <v>84</v>
      </c>
      <c r="H117" s="6" t="s">
        <v>114</v>
      </c>
      <c r="I117" t="s">
        <v>57</v>
      </c>
      <c r="J117" s="6" t="s">
        <v>32</v>
      </c>
      <c r="K117" s="6" t="s">
        <v>58</v>
      </c>
      <c r="L117" s="4">
        <v>11</v>
      </c>
      <c r="M117" s="5">
        <v>755000</v>
      </c>
      <c r="N117" s="4">
        <v>0.1</v>
      </c>
      <c r="O117" s="5">
        <v>7474500</v>
      </c>
      <c r="P117" s="6" t="s">
        <v>35</v>
      </c>
      <c r="Q117" s="10" t="s">
        <v>95</v>
      </c>
      <c r="R117" s="6" t="s">
        <v>111</v>
      </c>
    </row>
    <row r="118" spans="1:18" x14ac:dyDescent="0.3">
      <c r="A118" s="6" t="s">
        <v>310</v>
      </c>
      <c r="B118" s="7">
        <v>45931</v>
      </c>
      <c r="C118" s="7" t="str">
        <f t="shared" si="2"/>
        <v>October</v>
      </c>
      <c r="D118" s="7" t="str">
        <f t="shared" si="3"/>
        <v>Q4</v>
      </c>
      <c r="E118" s="6" t="s">
        <v>154</v>
      </c>
      <c r="F118" s="6" t="s">
        <v>131</v>
      </c>
      <c r="G118" s="6" t="s">
        <v>19</v>
      </c>
      <c r="H118" s="6" t="s">
        <v>20</v>
      </c>
      <c r="I118" t="s">
        <v>64</v>
      </c>
      <c r="J118" s="6" t="s">
        <v>32</v>
      </c>
      <c r="K118" s="6" t="s">
        <v>65</v>
      </c>
      <c r="L118" s="4">
        <v>7</v>
      </c>
      <c r="M118" s="5">
        <v>477000</v>
      </c>
      <c r="N118" s="4">
        <v>0.05</v>
      </c>
      <c r="O118" s="5">
        <v>3172050</v>
      </c>
      <c r="P118" s="6" t="s">
        <v>35</v>
      </c>
      <c r="Q118" s="10" t="s">
        <v>145</v>
      </c>
      <c r="R118" s="6" t="s">
        <v>61</v>
      </c>
    </row>
    <row r="119" spans="1:18" x14ac:dyDescent="0.3">
      <c r="A119" s="6" t="s">
        <v>311</v>
      </c>
      <c r="B119" s="7">
        <v>45989</v>
      </c>
      <c r="C119" s="7" t="str">
        <f t="shared" si="2"/>
        <v>November</v>
      </c>
      <c r="D119" s="7" t="str">
        <f t="shared" si="3"/>
        <v>Q4</v>
      </c>
      <c r="E119" s="6" t="s">
        <v>56</v>
      </c>
      <c r="F119" s="6" t="s">
        <v>18</v>
      </c>
      <c r="G119" s="6" t="s">
        <v>42</v>
      </c>
      <c r="H119" s="6" t="s">
        <v>42</v>
      </c>
      <c r="I119" t="s">
        <v>128</v>
      </c>
      <c r="J119" s="6" t="s">
        <v>22</v>
      </c>
      <c r="K119" s="6" t="s">
        <v>92</v>
      </c>
      <c r="L119" s="4">
        <v>14</v>
      </c>
      <c r="M119" s="5">
        <v>190000</v>
      </c>
      <c r="N119" s="4">
        <v>0.05</v>
      </c>
      <c r="O119" s="5">
        <v>2527000</v>
      </c>
      <c r="P119" s="6" t="s">
        <v>86</v>
      </c>
      <c r="Q119" s="10" t="s">
        <v>175</v>
      </c>
      <c r="R119" s="6" t="s">
        <v>61</v>
      </c>
    </row>
    <row r="120" spans="1:18" x14ac:dyDescent="0.3">
      <c r="A120" s="6" t="s">
        <v>313</v>
      </c>
      <c r="B120" s="7">
        <v>45849</v>
      </c>
      <c r="C120" s="7" t="str">
        <f t="shared" si="2"/>
        <v>July</v>
      </c>
      <c r="D120" s="7" t="str">
        <f t="shared" si="3"/>
        <v>Q3</v>
      </c>
      <c r="E120" s="6" t="s">
        <v>135</v>
      </c>
      <c r="F120" s="6" t="s">
        <v>50</v>
      </c>
      <c r="G120" s="6" t="s">
        <v>107</v>
      </c>
      <c r="H120" s="6" t="s">
        <v>108</v>
      </c>
      <c r="I120" t="s">
        <v>160</v>
      </c>
      <c r="J120" s="6" t="s">
        <v>22</v>
      </c>
      <c r="K120" s="6" t="s">
        <v>23</v>
      </c>
      <c r="L120" s="4">
        <v>8</v>
      </c>
      <c r="M120" s="5">
        <v>76000</v>
      </c>
      <c r="N120" s="4">
        <v>0.1</v>
      </c>
      <c r="O120" s="5">
        <v>547200</v>
      </c>
      <c r="P120" s="6" t="s">
        <v>53</v>
      </c>
      <c r="Q120" s="10" t="s">
        <v>75</v>
      </c>
      <c r="R120" s="6" t="s">
        <v>183</v>
      </c>
    </row>
    <row r="121" spans="1:18" x14ac:dyDescent="0.3">
      <c r="A121" s="6" t="s">
        <v>314</v>
      </c>
      <c r="B121" s="7">
        <v>46021</v>
      </c>
      <c r="C121" s="7" t="str">
        <f t="shared" si="2"/>
        <v>December</v>
      </c>
      <c r="D121" s="7" t="str">
        <f t="shared" si="3"/>
        <v>Q4</v>
      </c>
      <c r="E121" s="6" t="s">
        <v>89</v>
      </c>
      <c r="F121" s="6" t="s">
        <v>90</v>
      </c>
      <c r="G121" s="6" t="s">
        <v>19</v>
      </c>
      <c r="H121" s="6" t="s">
        <v>20</v>
      </c>
      <c r="I121" t="s">
        <v>64</v>
      </c>
      <c r="J121" s="6" t="s">
        <v>32</v>
      </c>
      <c r="K121" s="6" t="s">
        <v>65</v>
      </c>
      <c r="L121" s="4">
        <v>11</v>
      </c>
      <c r="M121" s="5">
        <v>516000</v>
      </c>
      <c r="N121" s="4">
        <v>0</v>
      </c>
      <c r="O121" s="5">
        <v>5676000</v>
      </c>
      <c r="P121" s="6" t="s">
        <v>86</v>
      </c>
      <c r="Q121" s="10" t="s">
        <v>46</v>
      </c>
      <c r="R121" s="6" t="s">
        <v>87</v>
      </c>
    </row>
    <row r="122" spans="1:18" x14ac:dyDescent="0.3">
      <c r="A122" s="6" t="s">
        <v>315</v>
      </c>
      <c r="B122" s="7">
        <v>45896</v>
      </c>
      <c r="C122" s="7" t="str">
        <f t="shared" si="2"/>
        <v>August</v>
      </c>
      <c r="D122" s="7" t="str">
        <f t="shared" si="3"/>
        <v>Q3</v>
      </c>
      <c r="E122" s="6" t="s">
        <v>214</v>
      </c>
      <c r="F122" s="6" t="s">
        <v>102</v>
      </c>
      <c r="G122" s="6" t="s">
        <v>19</v>
      </c>
      <c r="H122" s="6" t="s">
        <v>20</v>
      </c>
      <c r="I122" t="s">
        <v>178</v>
      </c>
      <c r="J122" s="6" t="s">
        <v>101</v>
      </c>
      <c r="K122" s="6" t="s">
        <v>179</v>
      </c>
      <c r="L122" s="4">
        <v>13</v>
      </c>
      <c r="M122" s="5">
        <v>106000</v>
      </c>
      <c r="N122" s="4">
        <v>0</v>
      </c>
      <c r="O122" s="5">
        <v>1378000</v>
      </c>
      <c r="P122" s="6" t="s">
        <v>35</v>
      </c>
      <c r="Q122" s="10" t="s">
        <v>145</v>
      </c>
      <c r="R122" s="6" t="s">
        <v>87</v>
      </c>
    </row>
    <row r="123" spans="1:18" x14ac:dyDescent="0.3">
      <c r="A123" s="6" t="s">
        <v>316</v>
      </c>
      <c r="B123" s="7">
        <v>45830</v>
      </c>
      <c r="C123" s="7" t="str">
        <f t="shared" si="2"/>
        <v>June</v>
      </c>
      <c r="D123" s="7" t="str">
        <f t="shared" si="3"/>
        <v>Q2</v>
      </c>
      <c r="E123" s="6" t="s">
        <v>113</v>
      </c>
      <c r="F123" s="6" t="s">
        <v>29</v>
      </c>
      <c r="G123" s="6" t="s">
        <v>84</v>
      </c>
      <c r="H123" s="6" t="s">
        <v>114</v>
      </c>
      <c r="I123" t="s">
        <v>178</v>
      </c>
      <c r="J123" s="6" t="s">
        <v>101</v>
      </c>
      <c r="K123" s="6" t="s">
        <v>179</v>
      </c>
      <c r="L123" s="4">
        <v>7</v>
      </c>
      <c r="M123" s="5">
        <v>84000</v>
      </c>
      <c r="N123" s="4">
        <v>0.05</v>
      </c>
      <c r="O123" s="5">
        <v>558600</v>
      </c>
      <c r="P123" s="6" t="s">
        <v>35</v>
      </c>
      <c r="Q123" s="10" t="s">
        <v>36</v>
      </c>
      <c r="R123" s="6" t="s">
        <v>61</v>
      </c>
    </row>
    <row r="124" spans="1:18" x14ac:dyDescent="0.3">
      <c r="A124" s="6" t="s">
        <v>317</v>
      </c>
      <c r="B124" s="7">
        <v>45850</v>
      </c>
      <c r="C124" s="7" t="str">
        <f t="shared" si="2"/>
        <v>July</v>
      </c>
      <c r="D124" s="7" t="str">
        <f t="shared" si="3"/>
        <v>Q3</v>
      </c>
      <c r="E124" s="6" t="s">
        <v>67</v>
      </c>
      <c r="F124" s="6" t="s">
        <v>68</v>
      </c>
      <c r="G124" s="6" t="s">
        <v>69</v>
      </c>
      <c r="H124" s="6" t="s">
        <v>70</v>
      </c>
      <c r="I124" t="s">
        <v>74</v>
      </c>
      <c r="J124" s="6" t="s">
        <v>32</v>
      </c>
      <c r="K124" s="6" t="s">
        <v>33</v>
      </c>
      <c r="L124" s="4">
        <v>10</v>
      </c>
      <c r="M124" s="5">
        <v>90000</v>
      </c>
      <c r="N124" s="4">
        <v>0</v>
      </c>
      <c r="O124" s="5">
        <v>0</v>
      </c>
      <c r="P124" s="6" t="s">
        <v>53</v>
      </c>
      <c r="Q124" s="10" t="s">
        <v>95</v>
      </c>
      <c r="R124" s="6" t="s">
        <v>26</v>
      </c>
    </row>
    <row r="125" spans="1:18" x14ac:dyDescent="0.3">
      <c r="A125" s="6" t="s">
        <v>319</v>
      </c>
      <c r="B125" s="7">
        <v>45786</v>
      </c>
      <c r="C125" s="7" t="str">
        <f t="shared" si="2"/>
        <v>May</v>
      </c>
      <c r="D125" s="7" t="str">
        <f t="shared" si="3"/>
        <v>Q2</v>
      </c>
      <c r="E125" s="6" t="s">
        <v>113</v>
      </c>
      <c r="F125" s="6" t="s">
        <v>29</v>
      </c>
      <c r="G125" s="6" t="s">
        <v>84</v>
      </c>
      <c r="H125" s="6" t="s">
        <v>114</v>
      </c>
      <c r="I125" t="s">
        <v>178</v>
      </c>
      <c r="J125" s="6" t="s">
        <v>101</v>
      </c>
      <c r="K125" s="6" t="s">
        <v>179</v>
      </c>
      <c r="L125" s="4">
        <v>5</v>
      </c>
      <c r="M125" s="5">
        <v>89000</v>
      </c>
      <c r="N125" s="4">
        <v>0.1</v>
      </c>
      <c r="O125" s="5">
        <v>400500</v>
      </c>
      <c r="P125" s="6" t="s">
        <v>94</v>
      </c>
      <c r="Q125" s="10" t="s">
        <v>145</v>
      </c>
      <c r="R125" s="6" t="s">
        <v>87</v>
      </c>
    </row>
    <row r="126" spans="1:18" x14ac:dyDescent="0.3">
      <c r="A126" s="6" t="s">
        <v>321</v>
      </c>
      <c r="B126" s="7">
        <v>45683</v>
      </c>
      <c r="C126" s="7" t="str">
        <f t="shared" si="2"/>
        <v>January</v>
      </c>
      <c r="D126" s="7" t="str">
        <f t="shared" si="3"/>
        <v>Q1</v>
      </c>
      <c r="E126" s="6" t="s">
        <v>28</v>
      </c>
      <c r="F126" s="6" t="s">
        <v>29</v>
      </c>
      <c r="G126" s="6" t="s">
        <v>30</v>
      </c>
      <c r="H126" s="6" t="s">
        <v>20</v>
      </c>
      <c r="I126" t="s">
        <v>137</v>
      </c>
      <c r="J126" s="6" t="s">
        <v>138</v>
      </c>
      <c r="K126" s="6" t="s">
        <v>138</v>
      </c>
      <c r="L126" s="4">
        <v>2</v>
      </c>
      <c r="M126" s="5">
        <v>31000</v>
      </c>
      <c r="N126" s="4">
        <v>0</v>
      </c>
      <c r="O126" s="5">
        <v>62000</v>
      </c>
      <c r="P126" s="6" t="s">
        <v>94</v>
      </c>
      <c r="Q126" s="10" t="s">
        <v>175</v>
      </c>
      <c r="R126" s="6" t="s">
        <v>61</v>
      </c>
    </row>
    <row r="127" spans="1:18" x14ac:dyDescent="0.3">
      <c r="A127" s="6" t="s">
        <v>323</v>
      </c>
      <c r="B127" s="7">
        <v>45972</v>
      </c>
      <c r="C127" s="7" t="str">
        <f t="shared" si="2"/>
        <v>November</v>
      </c>
      <c r="D127" s="7" t="str">
        <f t="shared" si="3"/>
        <v>Q4</v>
      </c>
      <c r="E127" s="6" t="s">
        <v>130</v>
      </c>
      <c r="F127" s="6" t="s">
        <v>131</v>
      </c>
      <c r="G127" s="6" t="s">
        <v>19</v>
      </c>
      <c r="H127" s="6" t="s">
        <v>20</v>
      </c>
      <c r="I127" t="s">
        <v>21</v>
      </c>
      <c r="J127" s="6" t="s">
        <v>22</v>
      </c>
      <c r="K127" s="6" t="s">
        <v>23</v>
      </c>
      <c r="L127" s="4">
        <v>11</v>
      </c>
      <c r="M127" s="5">
        <v>18000</v>
      </c>
      <c r="N127" s="4">
        <v>0</v>
      </c>
      <c r="O127" s="5">
        <v>198000</v>
      </c>
      <c r="P127" s="6" t="s">
        <v>619</v>
      </c>
      <c r="Q127" s="10" t="s">
        <v>46</v>
      </c>
      <c r="R127" s="6" t="s">
        <v>61</v>
      </c>
    </row>
    <row r="128" spans="1:18" x14ac:dyDescent="0.3">
      <c r="A128" s="6" t="s">
        <v>325</v>
      </c>
      <c r="B128" s="7">
        <v>45682</v>
      </c>
      <c r="C128" s="7" t="str">
        <f t="shared" si="2"/>
        <v>January</v>
      </c>
      <c r="D128" s="7" t="str">
        <f t="shared" si="3"/>
        <v>Q1</v>
      </c>
      <c r="E128" s="6" t="s">
        <v>154</v>
      </c>
      <c r="F128" s="6" t="s">
        <v>131</v>
      </c>
      <c r="G128" s="6" t="s">
        <v>19</v>
      </c>
      <c r="H128" s="6" t="s">
        <v>20</v>
      </c>
      <c r="I128" t="s">
        <v>57</v>
      </c>
      <c r="J128" s="6" t="s">
        <v>32</v>
      </c>
      <c r="K128" s="6" t="s">
        <v>58</v>
      </c>
      <c r="L128" s="4">
        <v>6</v>
      </c>
      <c r="M128" s="5">
        <v>762000</v>
      </c>
      <c r="N128" s="4">
        <v>0.02</v>
      </c>
      <c r="O128" s="5">
        <v>0</v>
      </c>
      <c r="P128" s="6" t="s">
        <v>616</v>
      </c>
      <c r="Q128" s="10" t="s">
        <v>25</v>
      </c>
      <c r="R128" s="6" t="s">
        <v>26</v>
      </c>
    </row>
    <row r="129" spans="1:18" x14ac:dyDescent="0.3">
      <c r="A129" s="6" t="s">
        <v>326</v>
      </c>
      <c r="B129" s="7">
        <v>45809</v>
      </c>
      <c r="C129" s="7" t="str">
        <f t="shared" si="2"/>
        <v>June</v>
      </c>
      <c r="D129" s="7" t="str">
        <f t="shared" si="3"/>
        <v>Q2</v>
      </c>
      <c r="E129" s="6" t="s">
        <v>56</v>
      </c>
      <c r="F129" s="6" t="s">
        <v>18</v>
      </c>
      <c r="G129" s="6" t="s">
        <v>42</v>
      </c>
      <c r="H129" s="6" t="s">
        <v>42</v>
      </c>
      <c r="I129" t="s">
        <v>295</v>
      </c>
      <c r="J129" s="6" t="s">
        <v>32</v>
      </c>
      <c r="K129" s="6" t="s">
        <v>58</v>
      </c>
      <c r="L129" s="4">
        <v>10</v>
      </c>
      <c r="M129" s="5">
        <v>380000</v>
      </c>
      <c r="N129" s="4">
        <v>0.02</v>
      </c>
      <c r="O129" s="5">
        <v>3724000</v>
      </c>
      <c r="P129" s="6" t="s">
        <v>617</v>
      </c>
      <c r="Q129" s="10" t="s">
        <v>46</v>
      </c>
      <c r="R129" s="6" t="s">
        <v>61</v>
      </c>
    </row>
    <row r="130" spans="1:18" x14ac:dyDescent="0.3">
      <c r="A130" s="6" t="s">
        <v>328</v>
      </c>
      <c r="B130" s="7">
        <v>45863</v>
      </c>
      <c r="C130" s="7" t="str">
        <f t="shared" si="2"/>
        <v>July</v>
      </c>
      <c r="D130" s="7" t="str">
        <f t="shared" si="3"/>
        <v>Q3</v>
      </c>
      <c r="E130" s="6" t="s">
        <v>17</v>
      </c>
      <c r="F130" s="6" t="s">
        <v>18</v>
      </c>
      <c r="G130" s="6" t="s">
        <v>19</v>
      </c>
      <c r="H130" s="6" t="s">
        <v>20</v>
      </c>
      <c r="I130" t="s">
        <v>208</v>
      </c>
      <c r="J130" s="6" t="s">
        <v>209</v>
      </c>
      <c r="K130" s="6" t="s">
        <v>65</v>
      </c>
      <c r="L130" s="4">
        <v>1</v>
      </c>
      <c r="M130" s="5">
        <v>98000</v>
      </c>
      <c r="N130" s="4">
        <v>0.05</v>
      </c>
      <c r="O130" s="5">
        <v>93100</v>
      </c>
      <c r="P130" s="6" t="s">
        <v>53</v>
      </c>
      <c r="Q130" s="10" t="s">
        <v>95</v>
      </c>
      <c r="R130" s="6" t="s">
        <v>111</v>
      </c>
    </row>
    <row r="131" spans="1:18" x14ac:dyDescent="0.3">
      <c r="A131" s="6" t="s">
        <v>329</v>
      </c>
      <c r="B131" s="7">
        <v>45892</v>
      </c>
      <c r="C131" s="7" t="str">
        <f t="shared" ref="C131:C194" si="4">TEXT(B131, "mmmm")</f>
        <v>August</v>
      </c>
      <c r="D131" s="7" t="str">
        <f t="shared" ref="D131:D194" si="5">"Q" &amp; ROUNDUP(MONTH(B131)/3,0)</f>
        <v>Q3</v>
      </c>
      <c r="E131" s="6" t="s">
        <v>159</v>
      </c>
      <c r="F131" s="6" t="s">
        <v>131</v>
      </c>
      <c r="G131" s="6" t="s">
        <v>84</v>
      </c>
      <c r="H131" s="6" t="s">
        <v>114</v>
      </c>
      <c r="I131" t="s">
        <v>160</v>
      </c>
      <c r="J131" s="6" t="s">
        <v>22</v>
      </c>
      <c r="K131" s="6" t="s">
        <v>23</v>
      </c>
      <c r="L131" s="4">
        <v>6</v>
      </c>
      <c r="M131" s="5">
        <v>78000</v>
      </c>
      <c r="N131" s="4">
        <v>0.02</v>
      </c>
      <c r="O131" s="5">
        <v>458640</v>
      </c>
      <c r="P131" s="6" t="s">
        <v>53</v>
      </c>
      <c r="Q131" s="10" t="s">
        <v>60</v>
      </c>
      <c r="R131" s="6" t="s">
        <v>61</v>
      </c>
    </row>
    <row r="132" spans="1:18" x14ac:dyDescent="0.3">
      <c r="A132" s="6" t="s">
        <v>330</v>
      </c>
      <c r="B132" s="7">
        <v>45899</v>
      </c>
      <c r="C132" s="7" t="str">
        <f t="shared" si="4"/>
        <v>August</v>
      </c>
      <c r="D132" s="7" t="str">
        <f t="shared" si="5"/>
        <v>Q3</v>
      </c>
      <c r="E132" s="6" t="s">
        <v>63</v>
      </c>
      <c r="F132" s="6" t="s">
        <v>18</v>
      </c>
      <c r="G132" s="6" t="s">
        <v>42</v>
      </c>
      <c r="H132" s="6" t="s">
        <v>42</v>
      </c>
      <c r="I132" t="s">
        <v>178</v>
      </c>
      <c r="J132" s="6" t="s">
        <v>101</v>
      </c>
      <c r="K132" s="6" t="s">
        <v>179</v>
      </c>
      <c r="L132" s="4">
        <v>1</v>
      </c>
      <c r="M132" s="5">
        <v>85000</v>
      </c>
      <c r="N132" s="4">
        <v>0.05</v>
      </c>
      <c r="O132" s="5">
        <v>0</v>
      </c>
      <c r="P132" s="6" t="s">
        <v>86</v>
      </c>
      <c r="Q132" s="10" t="s">
        <v>60</v>
      </c>
      <c r="R132" s="6" t="s">
        <v>26</v>
      </c>
    </row>
    <row r="133" spans="1:18" x14ac:dyDescent="0.3">
      <c r="A133" s="6" t="s">
        <v>332</v>
      </c>
      <c r="B133" s="7">
        <v>45789</v>
      </c>
      <c r="C133" s="7" t="str">
        <f t="shared" si="4"/>
        <v>May</v>
      </c>
      <c r="D133" s="7" t="str">
        <f t="shared" si="5"/>
        <v>Q2</v>
      </c>
      <c r="E133" s="6" t="s">
        <v>621</v>
      </c>
      <c r="F133" s="6" t="s">
        <v>18</v>
      </c>
      <c r="G133" s="6" t="s">
        <v>19</v>
      </c>
      <c r="H133" s="6" t="s">
        <v>20</v>
      </c>
      <c r="I133" t="s">
        <v>21</v>
      </c>
      <c r="J133" s="6" t="s">
        <v>22</v>
      </c>
      <c r="K133" s="6" t="s">
        <v>23</v>
      </c>
      <c r="L133" s="4">
        <v>5</v>
      </c>
      <c r="M133" s="5">
        <v>19000</v>
      </c>
      <c r="N133" s="4">
        <v>0.02</v>
      </c>
      <c r="O133" s="5">
        <v>93100</v>
      </c>
      <c r="P133" s="6" t="s">
        <v>53</v>
      </c>
      <c r="Q133" s="10" t="s">
        <v>175</v>
      </c>
      <c r="R133" s="6" t="s">
        <v>61</v>
      </c>
    </row>
    <row r="134" spans="1:18" x14ac:dyDescent="0.3">
      <c r="A134" s="6" t="s">
        <v>333</v>
      </c>
      <c r="B134" s="7">
        <v>45811</v>
      </c>
      <c r="C134" s="7" t="str">
        <f t="shared" si="4"/>
        <v>June</v>
      </c>
      <c r="D134" s="7" t="str">
        <f t="shared" si="5"/>
        <v>Q2</v>
      </c>
      <c r="E134" s="6" t="s">
        <v>39</v>
      </c>
      <c r="F134" s="6" t="s">
        <v>40</v>
      </c>
      <c r="G134" s="6" t="s">
        <v>42</v>
      </c>
      <c r="H134" s="6" t="s">
        <v>42</v>
      </c>
      <c r="I134" t="s">
        <v>71</v>
      </c>
      <c r="J134" s="6" t="s">
        <v>32</v>
      </c>
      <c r="K134" s="6" t="s">
        <v>33</v>
      </c>
      <c r="L134" s="4">
        <v>8</v>
      </c>
      <c r="M134" s="5">
        <v>277000</v>
      </c>
      <c r="N134" s="4">
        <v>0</v>
      </c>
      <c r="O134" s="5">
        <v>2216000</v>
      </c>
      <c r="P134" s="6" t="s">
        <v>618</v>
      </c>
      <c r="Q134" s="10" t="s">
        <v>95</v>
      </c>
      <c r="R134" s="6" t="s">
        <v>61</v>
      </c>
    </row>
    <row r="135" spans="1:18" x14ac:dyDescent="0.3">
      <c r="A135" s="6" t="s">
        <v>334</v>
      </c>
      <c r="B135" s="7">
        <v>45838</v>
      </c>
      <c r="C135" s="7" t="str">
        <f t="shared" si="4"/>
        <v>June</v>
      </c>
      <c r="D135" s="7" t="str">
        <f t="shared" si="5"/>
        <v>Q2</v>
      </c>
      <c r="E135" s="6" t="s">
        <v>159</v>
      </c>
      <c r="F135" s="6" t="s">
        <v>131</v>
      </c>
      <c r="G135" s="6" t="s">
        <v>84</v>
      </c>
      <c r="H135" s="6" t="s">
        <v>114</v>
      </c>
      <c r="I135" t="s">
        <v>128</v>
      </c>
      <c r="J135" s="6" t="s">
        <v>22</v>
      </c>
      <c r="K135" s="6" t="s">
        <v>92</v>
      </c>
      <c r="L135" s="4">
        <v>4</v>
      </c>
      <c r="M135" s="5">
        <v>219000</v>
      </c>
      <c r="N135" s="4">
        <v>0</v>
      </c>
      <c r="O135" s="5">
        <v>876000</v>
      </c>
      <c r="P135" s="6" t="s">
        <v>53</v>
      </c>
      <c r="Q135" s="10" t="s">
        <v>36</v>
      </c>
      <c r="R135" s="6" t="s">
        <v>61</v>
      </c>
    </row>
    <row r="136" spans="1:18" x14ac:dyDescent="0.3">
      <c r="A136" s="6" t="s">
        <v>335</v>
      </c>
      <c r="B136" s="7">
        <v>45705</v>
      </c>
      <c r="C136" s="7" t="str">
        <f t="shared" si="4"/>
        <v>February</v>
      </c>
      <c r="D136" s="7" t="str">
        <f t="shared" si="5"/>
        <v>Q1</v>
      </c>
      <c r="E136" s="6" t="s">
        <v>39</v>
      </c>
      <c r="F136" s="6" t="s">
        <v>40</v>
      </c>
      <c r="G136" s="6" t="s">
        <v>42</v>
      </c>
      <c r="H136" s="6" t="s">
        <v>42</v>
      </c>
      <c r="I136" t="s">
        <v>125</v>
      </c>
      <c r="J136" s="6" t="s">
        <v>32</v>
      </c>
      <c r="K136" s="6" t="s">
        <v>52</v>
      </c>
      <c r="L136" s="4">
        <v>6</v>
      </c>
      <c r="M136" s="5">
        <v>359000</v>
      </c>
      <c r="N136" s="4">
        <v>0</v>
      </c>
      <c r="O136" s="5">
        <v>2154000</v>
      </c>
      <c r="P136" s="6" t="s">
        <v>86</v>
      </c>
      <c r="Q136" s="10" t="s">
        <v>25</v>
      </c>
      <c r="R136" s="6" t="s">
        <v>87</v>
      </c>
    </row>
    <row r="137" spans="1:18" x14ac:dyDescent="0.3">
      <c r="A137" s="6" t="s">
        <v>336</v>
      </c>
      <c r="B137" s="7">
        <v>45823</v>
      </c>
      <c r="C137" s="7" t="str">
        <f t="shared" si="4"/>
        <v>June</v>
      </c>
      <c r="D137" s="7" t="str">
        <f t="shared" si="5"/>
        <v>Q2</v>
      </c>
      <c r="E137" s="6" t="s">
        <v>159</v>
      </c>
      <c r="F137" s="6" t="s">
        <v>131</v>
      </c>
      <c r="G137" s="6" t="s">
        <v>84</v>
      </c>
      <c r="H137" s="6" t="s">
        <v>114</v>
      </c>
      <c r="I137" t="s">
        <v>64</v>
      </c>
      <c r="J137" s="6" t="s">
        <v>32</v>
      </c>
      <c r="K137" s="6" t="s">
        <v>65</v>
      </c>
      <c r="L137" s="4">
        <v>3</v>
      </c>
      <c r="M137" s="5">
        <v>589000</v>
      </c>
      <c r="N137" s="4">
        <v>0.02</v>
      </c>
      <c r="O137" s="5">
        <v>0</v>
      </c>
      <c r="P137" s="6" t="s">
        <v>86</v>
      </c>
      <c r="Q137" s="10" t="s">
        <v>145</v>
      </c>
      <c r="R137" s="6" t="s">
        <v>26</v>
      </c>
    </row>
    <row r="138" spans="1:18" x14ac:dyDescent="0.3">
      <c r="A138" s="6" t="s">
        <v>338</v>
      </c>
      <c r="B138" s="7">
        <v>46012</v>
      </c>
      <c r="C138" s="7" t="str">
        <f t="shared" si="4"/>
        <v>December</v>
      </c>
      <c r="D138" s="7" t="str">
        <f t="shared" si="5"/>
        <v>Q4</v>
      </c>
      <c r="E138" s="6" t="s">
        <v>190</v>
      </c>
      <c r="F138" s="6" t="s">
        <v>191</v>
      </c>
      <c r="G138" s="6" t="s">
        <v>42</v>
      </c>
      <c r="H138" s="6" t="s">
        <v>42</v>
      </c>
      <c r="I138" t="s">
        <v>204</v>
      </c>
      <c r="J138" s="6" t="s">
        <v>101</v>
      </c>
      <c r="K138" s="6" t="s">
        <v>156</v>
      </c>
      <c r="L138" s="4">
        <v>5</v>
      </c>
      <c r="M138" s="5">
        <v>141000</v>
      </c>
      <c r="N138" s="4">
        <v>0</v>
      </c>
      <c r="O138" s="5">
        <v>705000</v>
      </c>
      <c r="P138" s="6" t="s">
        <v>53</v>
      </c>
      <c r="Q138" s="10" t="s">
        <v>175</v>
      </c>
      <c r="R138" s="6" t="s">
        <v>61</v>
      </c>
    </row>
    <row r="139" spans="1:18" x14ac:dyDescent="0.3">
      <c r="A139" s="6" t="s">
        <v>339</v>
      </c>
      <c r="B139" s="7">
        <v>45893</v>
      </c>
      <c r="C139" s="7" t="str">
        <f t="shared" si="4"/>
        <v>August</v>
      </c>
      <c r="D139" s="7" t="str">
        <f t="shared" si="5"/>
        <v>Q3</v>
      </c>
      <c r="E139" s="6" t="s">
        <v>135</v>
      </c>
      <c r="F139" s="6" t="s">
        <v>50</v>
      </c>
      <c r="G139" s="6" t="s">
        <v>107</v>
      </c>
      <c r="H139" s="6" t="s">
        <v>108</v>
      </c>
      <c r="I139" t="s">
        <v>21</v>
      </c>
      <c r="J139" s="6" t="s">
        <v>22</v>
      </c>
      <c r="K139" s="6" t="s">
        <v>23</v>
      </c>
      <c r="L139" s="4">
        <v>7</v>
      </c>
      <c r="M139" s="5">
        <v>17000</v>
      </c>
      <c r="N139" s="4">
        <v>0.05</v>
      </c>
      <c r="O139" s="5">
        <v>113050</v>
      </c>
      <c r="P139" s="6" t="s">
        <v>35</v>
      </c>
      <c r="Q139" s="10" t="s">
        <v>95</v>
      </c>
      <c r="R139" s="6" t="s">
        <v>61</v>
      </c>
    </row>
    <row r="140" spans="1:18" x14ac:dyDescent="0.3">
      <c r="A140" s="6" t="s">
        <v>340</v>
      </c>
      <c r="B140" s="7">
        <v>45882</v>
      </c>
      <c r="C140" s="7" t="str">
        <f t="shared" si="4"/>
        <v>August</v>
      </c>
      <c r="D140" s="7" t="str">
        <f t="shared" si="5"/>
        <v>Q3</v>
      </c>
      <c r="E140" s="6" t="s">
        <v>117</v>
      </c>
      <c r="F140" s="6" t="s">
        <v>68</v>
      </c>
      <c r="G140" s="6" t="s">
        <v>123</v>
      </c>
      <c r="H140" s="6" t="s">
        <v>225</v>
      </c>
      <c r="I140" t="s">
        <v>620</v>
      </c>
      <c r="J140" s="6" t="s">
        <v>101</v>
      </c>
      <c r="K140" s="6" t="s">
        <v>102</v>
      </c>
      <c r="L140" s="4">
        <v>11</v>
      </c>
      <c r="M140" s="5">
        <v>134000</v>
      </c>
      <c r="N140" s="4">
        <v>0.02</v>
      </c>
      <c r="O140" s="5">
        <v>0</v>
      </c>
      <c r="P140" s="6" t="s">
        <v>94</v>
      </c>
      <c r="Q140" s="10" t="s">
        <v>25</v>
      </c>
      <c r="R140" s="6" t="s">
        <v>26</v>
      </c>
    </row>
    <row r="141" spans="1:18" x14ac:dyDescent="0.3">
      <c r="A141" s="6" t="s">
        <v>342</v>
      </c>
      <c r="B141" s="7">
        <v>45991</v>
      </c>
      <c r="C141" s="7" t="str">
        <f t="shared" si="4"/>
        <v>November</v>
      </c>
      <c r="D141" s="7" t="str">
        <f t="shared" si="5"/>
        <v>Q4</v>
      </c>
      <c r="E141" s="6" t="s">
        <v>82</v>
      </c>
      <c r="F141" s="6" t="s">
        <v>83</v>
      </c>
      <c r="G141" s="6" t="s">
        <v>84</v>
      </c>
      <c r="H141" s="6" t="s">
        <v>114</v>
      </c>
      <c r="I141" t="s">
        <v>235</v>
      </c>
      <c r="J141" s="6" t="s">
        <v>101</v>
      </c>
      <c r="K141" s="6" t="s">
        <v>156</v>
      </c>
      <c r="L141" s="4">
        <v>15</v>
      </c>
      <c r="M141" s="5">
        <v>165000</v>
      </c>
      <c r="N141" s="4">
        <v>0</v>
      </c>
      <c r="O141" s="5">
        <v>2425500</v>
      </c>
      <c r="P141" s="6" t="s">
        <v>94</v>
      </c>
      <c r="Q141" s="10" t="s">
        <v>60</v>
      </c>
      <c r="R141" s="6" t="s">
        <v>183</v>
      </c>
    </row>
    <row r="142" spans="1:18" x14ac:dyDescent="0.3">
      <c r="A142" s="6" t="s">
        <v>344</v>
      </c>
      <c r="B142" s="7">
        <v>45679</v>
      </c>
      <c r="C142" s="7" t="str">
        <f t="shared" si="4"/>
        <v>January</v>
      </c>
      <c r="D142" s="7" t="str">
        <f t="shared" si="5"/>
        <v>Q1</v>
      </c>
      <c r="E142" s="6" t="s">
        <v>17</v>
      </c>
      <c r="F142" s="6" t="s">
        <v>18</v>
      </c>
      <c r="G142" s="6" t="s">
        <v>19</v>
      </c>
      <c r="H142" s="6" t="s">
        <v>20</v>
      </c>
      <c r="I142" t="s">
        <v>109</v>
      </c>
      <c r="J142" s="6" t="s">
        <v>32</v>
      </c>
      <c r="K142" s="6" t="s">
        <v>44</v>
      </c>
      <c r="L142" s="4">
        <v>14</v>
      </c>
      <c r="M142" s="5">
        <v>163000</v>
      </c>
      <c r="N142" s="4">
        <v>0.02</v>
      </c>
      <c r="O142" s="5">
        <v>2236360</v>
      </c>
      <c r="P142" s="6" t="s">
        <v>86</v>
      </c>
      <c r="Q142" s="10" t="s">
        <v>95</v>
      </c>
      <c r="R142" s="6" t="s">
        <v>61</v>
      </c>
    </row>
    <row r="143" spans="1:18" x14ac:dyDescent="0.3">
      <c r="A143" s="6" t="s">
        <v>345</v>
      </c>
      <c r="B143" s="7">
        <v>45764</v>
      </c>
      <c r="C143" s="7" t="str">
        <f t="shared" si="4"/>
        <v>April</v>
      </c>
      <c r="D143" s="7" t="str">
        <f t="shared" si="5"/>
        <v>Q2</v>
      </c>
      <c r="E143" s="6" t="s">
        <v>147</v>
      </c>
      <c r="F143" s="6" t="s">
        <v>18</v>
      </c>
      <c r="G143" s="6" t="s">
        <v>148</v>
      </c>
      <c r="H143" s="6" t="s">
        <v>149</v>
      </c>
      <c r="I143" t="s">
        <v>620</v>
      </c>
      <c r="J143" s="6" t="s">
        <v>101</v>
      </c>
      <c r="K143" s="6" t="s">
        <v>102</v>
      </c>
      <c r="L143" s="4">
        <v>8</v>
      </c>
      <c r="M143" s="5">
        <v>114000</v>
      </c>
      <c r="N143" s="4">
        <v>0.02</v>
      </c>
      <c r="O143" s="5">
        <v>893760</v>
      </c>
      <c r="P143" s="6" t="s">
        <v>86</v>
      </c>
      <c r="Q143" s="10" t="s">
        <v>95</v>
      </c>
      <c r="R143" s="6" t="s">
        <v>61</v>
      </c>
    </row>
    <row r="144" spans="1:18" x14ac:dyDescent="0.3">
      <c r="A144" s="6" t="s">
        <v>346</v>
      </c>
      <c r="B144" s="7">
        <v>45871</v>
      </c>
      <c r="C144" s="7" t="str">
        <f t="shared" si="4"/>
        <v>August</v>
      </c>
      <c r="D144" s="7" t="str">
        <f t="shared" si="5"/>
        <v>Q3</v>
      </c>
      <c r="E144" s="6" t="s">
        <v>39</v>
      </c>
      <c r="F144" s="6" t="s">
        <v>40</v>
      </c>
      <c r="G144" s="6" t="s">
        <v>42</v>
      </c>
      <c r="H144" s="6" t="s">
        <v>42</v>
      </c>
      <c r="I144" t="s">
        <v>235</v>
      </c>
      <c r="J144" s="6" t="s">
        <v>101</v>
      </c>
      <c r="K144" s="6" t="s">
        <v>156</v>
      </c>
      <c r="L144" s="4">
        <v>7</v>
      </c>
      <c r="M144" s="5">
        <v>187000</v>
      </c>
      <c r="N144" s="4">
        <v>0.05</v>
      </c>
      <c r="O144" s="5">
        <v>1243550</v>
      </c>
      <c r="P144" s="6" t="s">
        <v>86</v>
      </c>
      <c r="Q144" s="10" t="s">
        <v>145</v>
      </c>
      <c r="R144" s="6" t="s">
        <v>183</v>
      </c>
    </row>
    <row r="145" spans="1:18" x14ac:dyDescent="0.3">
      <c r="A145" s="6" t="s">
        <v>347</v>
      </c>
      <c r="B145" s="7">
        <v>45872</v>
      </c>
      <c r="C145" s="7" t="str">
        <f t="shared" si="4"/>
        <v>August</v>
      </c>
      <c r="D145" s="7" t="str">
        <f t="shared" si="5"/>
        <v>Q3</v>
      </c>
      <c r="E145" s="6" t="s">
        <v>214</v>
      </c>
      <c r="F145" s="6" t="s">
        <v>102</v>
      </c>
      <c r="G145" s="6" t="s">
        <v>19</v>
      </c>
      <c r="H145" s="6" t="s">
        <v>20</v>
      </c>
      <c r="I145" t="s">
        <v>21</v>
      </c>
      <c r="J145" s="6" t="s">
        <v>22</v>
      </c>
      <c r="K145" s="6" t="s">
        <v>23</v>
      </c>
      <c r="L145" s="4">
        <v>12</v>
      </c>
      <c r="M145" s="5">
        <v>18000</v>
      </c>
      <c r="N145" s="4">
        <v>0.05</v>
      </c>
      <c r="O145" s="5">
        <v>205200</v>
      </c>
      <c r="P145" s="6" t="s">
        <v>94</v>
      </c>
      <c r="Q145" s="10" t="s">
        <v>36</v>
      </c>
      <c r="R145" s="6" t="s">
        <v>87</v>
      </c>
    </row>
    <row r="146" spans="1:18" x14ac:dyDescent="0.3">
      <c r="A146" s="6" t="s">
        <v>349</v>
      </c>
      <c r="B146" s="7">
        <v>45758</v>
      </c>
      <c r="C146" s="7" t="str">
        <f t="shared" si="4"/>
        <v>April</v>
      </c>
      <c r="D146" s="7" t="str">
        <f t="shared" si="5"/>
        <v>Q2</v>
      </c>
      <c r="E146" s="6" t="s">
        <v>56</v>
      </c>
      <c r="F146" s="6" t="s">
        <v>18</v>
      </c>
      <c r="G146" s="6" t="s">
        <v>42</v>
      </c>
      <c r="H146" s="6" t="s">
        <v>42</v>
      </c>
      <c r="I146" t="s">
        <v>64</v>
      </c>
      <c r="J146" s="6" t="s">
        <v>32</v>
      </c>
      <c r="K146" s="6" t="s">
        <v>65</v>
      </c>
      <c r="L146" s="4">
        <v>11</v>
      </c>
      <c r="M146" s="5">
        <v>512000</v>
      </c>
      <c r="N146" s="4">
        <v>0</v>
      </c>
      <c r="O146" s="5">
        <v>0</v>
      </c>
      <c r="P146" s="6" t="s">
        <v>53</v>
      </c>
      <c r="Q146" s="10" t="s">
        <v>95</v>
      </c>
      <c r="R146" s="6" t="s">
        <v>26</v>
      </c>
    </row>
    <row r="147" spans="1:18" x14ac:dyDescent="0.3">
      <c r="A147" s="6" t="s">
        <v>350</v>
      </c>
      <c r="B147" s="7">
        <v>45944</v>
      </c>
      <c r="C147" s="7" t="str">
        <f t="shared" si="4"/>
        <v>October</v>
      </c>
      <c r="D147" s="7" t="str">
        <f t="shared" si="5"/>
        <v>Q4</v>
      </c>
      <c r="E147" s="6" t="s">
        <v>28</v>
      </c>
      <c r="F147" s="6" t="s">
        <v>29</v>
      </c>
      <c r="G147" s="6" t="s">
        <v>30</v>
      </c>
      <c r="H147" s="6" t="s">
        <v>20</v>
      </c>
      <c r="I147" t="s">
        <v>204</v>
      </c>
      <c r="J147" s="6" t="s">
        <v>101</v>
      </c>
      <c r="K147" s="6" t="s">
        <v>156</v>
      </c>
      <c r="L147" s="4">
        <v>11</v>
      </c>
      <c r="M147" s="5">
        <v>155000</v>
      </c>
      <c r="N147" s="4">
        <v>0.05</v>
      </c>
      <c r="O147" s="5">
        <v>1619750</v>
      </c>
      <c r="P147" s="6" t="s">
        <v>86</v>
      </c>
      <c r="Q147" s="10" t="s">
        <v>60</v>
      </c>
      <c r="R147" s="6" t="s">
        <v>87</v>
      </c>
    </row>
    <row r="148" spans="1:18" x14ac:dyDescent="0.3">
      <c r="A148" s="6" t="s">
        <v>351</v>
      </c>
      <c r="B148" s="7">
        <v>45917</v>
      </c>
      <c r="C148" s="7" t="str">
        <f t="shared" si="4"/>
        <v>September</v>
      </c>
      <c r="D148" s="7" t="str">
        <f t="shared" si="5"/>
        <v>Q3</v>
      </c>
      <c r="E148" s="6" t="s">
        <v>117</v>
      </c>
      <c r="F148" s="6" t="s">
        <v>68</v>
      </c>
      <c r="G148" s="6" t="s">
        <v>123</v>
      </c>
      <c r="H148" s="6" t="s">
        <v>225</v>
      </c>
      <c r="I148" t="s">
        <v>128</v>
      </c>
      <c r="J148" s="6" t="s">
        <v>22</v>
      </c>
      <c r="K148" s="6" t="s">
        <v>92</v>
      </c>
      <c r="L148" s="4">
        <v>3</v>
      </c>
      <c r="M148" s="5">
        <v>192000</v>
      </c>
      <c r="N148" s="4">
        <v>0.1</v>
      </c>
      <c r="O148" s="5">
        <v>518400</v>
      </c>
      <c r="P148" s="6" t="s">
        <v>53</v>
      </c>
      <c r="Q148" s="10" t="s">
        <v>75</v>
      </c>
      <c r="R148" s="6" t="s">
        <v>183</v>
      </c>
    </row>
    <row r="149" spans="1:18" x14ac:dyDescent="0.3">
      <c r="A149" s="6" t="s">
        <v>352</v>
      </c>
      <c r="B149" s="7">
        <v>45827</v>
      </c>
      <c r="C149" s="7" t="str">
        <f t="shared" si="4"/>
        <v>June</v>
      </c>
      <c r="D149" s="7" t="str">
        <f t="shared" si="5"/>
        <v>Q2</v>
      </c>
      <c r="E149" s="6" t="s">
        <v>214</v>
      </c>
      <c r="F149" s="6" t="s">
        <v>102</v>
      </c>
      <c r="G149" s="6" t="s">
        <v>19</v>
      </c>
      <c r="H149" s="6" t="s">
        <v>20</v>
      </c>
      <c r="I149" t="s">
        <v>144</v>
      </c>
      <c r="J149" s="6" t="s">
        <v>32</v>
      </c>
      <c r="K149" s="6" t="s">
        <v>44</v>
      </c>
      <c r="L149" s="4">
        <v>4</v>
      </c>
      <c r="M149" s="5">
        <v>217000</v>
      </c>
      <c r="N149" s="4">
        <v>0</v>
      </c>
      <c r="O149" s="5">
        <v>868000</v>
      </c>
      <c r="P149" s="6" t="s">
        <v>94</v>
      </c>
      <c r="Q149" s="10" t="s">
        <v>25</v>
      </c>
      <c r="R149" s="6" t="s">
        <v>87</v>
      </c>
    </row>
    <row r="150" spans="1:18" x14ac:dyDescent="0.3">
      <c r="A150" s="6" t="s">
        <v>354</v>
      </c>
      <c r="B150" s="7">
        <v>45738</v>
      </c>
      <c r="C150" s="7" t="str">
        <f t="shared" si="4"/>
        <v>March</v>
      </c>
      <c r="D150" s="7" t="str">
        <f t="shared" si="5"/>
        <v>Q1</v>
      </c>
      <c r="E150" s="6" t="s">
        <v>117</v>
      </c>
      <c r="F150" s="6" t="s">
        <v>68</v>
      </c>
      <c r="G150" s="6" t="s">
        <v>123</v>
      </c>
      <c r="H150" s="6" t="s">
        <v>225</v>
      </c>
      <c r="I150" t="s">
        <v>160</v>
      </c>
      <c r="J150" s="6" t="s">
        <v>22</v>
      </c>
      <c r="K150" s="6" t="s">
        <v>23</v>
      </c>
      <c r="L150" s="4">
        <v>14</v>
      </c>
      <c r="M150" s="5">
        <v>69000</v>
      </c>
      <c r="N150" s="4">
        <v>0.1</v>
      </c>
      <c r="O150" s="5">
        <v>869400</v>
      </c>
      <c r="P150" s="6" t="s">
        <v>94</v>
      </c>
      <c r="Q150" s="10" t="s">
        <v>75</v>
      </c>
      <c r="R150" s="6" t="s">
        <v>61</v>
      </c>
    </row>
    <row r="151" spans="1:18" x14ac:dyDescent="0.3">
      <c r="A151" s="6" t="s">
        <v>356</v>
      </c>
      <c r="B151" s="7">
        <v>45987</v>
      </c>
      <c r="C151" s="7" t="str">
        <f t="shared" si="4"/>
        <v>November</v>
      </c>
      <c r="D151" s="7" t="str">
        <f t="shared" si="5"/>
        <v>Q4</v>
      </c>
      <c r="E151" s="6" t="s">
        <v>130</v>
      </c>
      <c r="F151" s="6" t="s">
        <v>131</v>
      </c>
      <c r="G151" s="6" t="s">
        <v>19</v>
      </c>
      <c r="H151" s="6" t="s">
        <v>20</v>
      </c>
      <c r="I151" t="s">
        <v>295</v>
      </c>
      <c r="J151" s="6" t="s">
        <v>32</v>
      </c>
      <c r="K151" s="6" t="s">
        <v>58</v>
      </c>
      <c r="L151" s="4">
        <v>12</v>
      </c>
      <c r="M151" s="5">
        <v>412000</v>
      </c>
      <c r="N151" s="4">
        <v>0.02</v>
      </c>
      <c r="O151" s="5">
        <v>4845120</v>
      </c>
      <c r="P151" s="6" t="s">
        <v>35</v>
      </c>
      <c r="Q151" s="10" t="s">
        <v>46</v>
      </c>
      <c r="R151" s="6" t="s">
        <v>61</v>
      </c>
    </row>
    <row r="152" spans="1:18" x14ac:dyDescent="0.3">
      <c r="A152" s="6" t="s">
        <v>359</v>
      </c>
      <c r="B152" s="7">
        <v>45801</v>
      </c>
      <c r="C152" s="7" t="str">
        <f t="shared" si="4"/>
        <v>May</v>
      </c>
      <c r="D152" s="7" t="str">
        <f t="shared" si="5"/>
        <v>Q2</v>
      </c>
      <c r="E152" s="6" t="s">
        <v>17</v>
      </c>
      <c r="F152" s="6" t="s">
        <v>18</v>
      </c>
      <c r="G152" s="6" t="s">
        <v>19</v>
      </c>
      <c r="H152" s="6" t="s">
        <v>20</v>
      </c>
      <c r="I152" t="s">
        <v>295</v>
      </c>
      <c r="J152" s="6" t="s">
        <v>32</v>
      </c>
      <c r="K152" s="6" t="s">
        <v>58</v>
      </c>
      <c r="L152" s="4">
        <v>6</v>
      </c>
      <c r="M152" s="5">
        <v>445000</v>
      </c>
      <c r="N152" s="4">
        <v>0</v>
      </c>
      <c r="O152" s="5">
        <v>2670000</v>
      </c>
      <c r="P152" s="6" t="s">
        <v>53</v>
      </c>
      <c r="Q152" s="10" t="s">
        <v>46</v>
      </c>
      <c r="R152" s="6" t="s">
        <v>183</v>
      </c>
    </row>
    <row r="153" spans="1:18" x14ac:dyDescent="0.3">
      <c r="A153" s="6" t="s">
        <v>360</v>
      </c>
      <c r="B153" s="7">
        <v>45731</v>
      </c>
      <c r="C153" s="7" t="str">
        <f t="shared" si="4"/>
        <v>March</v>
      </c>
      <c r="D153" s="7" t="str">
        <f t="shared" si="5"/>
        <v>Q1</v>
      </c>
      <c r="E153" s="6" t="s">
        <v>17</v>
      </c>
      <c r="F153" s="6" t="s">
        <v>18</v>
      </c>
      <c r="G153" s="6" t="s">
        <v>19</v>
      </c>
      <c r="H153" s="6" t="s">
        <v>20</v>
      </c>
      <c r="I153" t="s">
        <v>57</v>
      </c>
      <c r="J153" s="6" t="s">
        <v>32</v>
      </c>
      <c r="K153" s="6" t="s">
        <v>58</v>
      </c>
      <c r="L153" s="4">
        <v>5</v>
      </c>
      <c r="M153" s="5">
        <v>688000</v>
      </c>
      <c r="N153" s="4">
        <v>0.05</v>
      </c>
      <c r="O153" s="5">
        <v>3268000</v>
      </c>
      <c r="P153" s="6" t="s">
        <v>86</v>
      </c>
      <c r="Q153" s="10" t="s">
        <v>36</v>
      </c>
      <c r="R153" s="6" t="s">
        <v>61</v>
      </c>
    </row>
    <row r="154" spans="1:18" x14ac:dyDescent="0.3">
      <c r="A154" s="6" t="s">
        <v>361</v>
      </c>
      <c r="B154" s="7">
        <v>45935</v>
      </c>
      <c r="C154" s="7" t="str">
        <f t="shared" si="4"/>
        <v>October</v>
      </c>
      <c r="D154" s="7" t="str">
        <f t="shared" si="5"/>
        <v>Q4</v>
      </c>
      <c r="E154" s="6" t="s">
        <v>154</v>
      </c>
      <c r="F154" s="6" t="s">
        <v>131</v>
      </c>
      <c r="G154" s="6" t="s">
        <v>19</v>
      </c>
      <c r="H154" s="6" t="s">
        <v>20</v>
      </c>
      <c r="I154" t="s">
        <v>620</v>
      </c>
      <c r="J154" s="6" t="s">
        <v>101</v>
      </c>
      <c r="K154" s="6" t="s">
        <v>102</v>
      </c>
      <c r="L154" s="4">
        <v>5</v>
      </c>
      <c r="M154" s="5">
        <v>110000</v>
      </c>
      <c r="N154" s="4">
        <v>0</v>
      </c>
      <c r="O154" s="5">
        <v>550000</v>
      </c>
      <c r="P154" s="6" t="s">
        <v>86</v>
      </c>
      <c r="Q154" s="10" t="s">
        <v>36</v>
      </c>
      <c r="R154" s="6" t="s">
        <v>61</v>
      </c>
    </row>
    <row r="155" spans="1:18" x14ac:dyDescent="0.3">
      <c r="A155" s="6" t="s">
        <v>363</v>
      </c>
      <c r="B155" s="7">
        <v>45919</v>
      </c>
      <c r="C155" s="7" t="str">
        <f t="shared" si="4"/>
        <v>September</v>
      </c>
      <c r="D155" s="7" t="str">
        <f t="shared" si="5"/>
        <v>Q3</v>
      </c>
      <c r="E155" s="6" t="s">
        <v>135</v>
      </c>
      <c r="F155" s="6" t="s">
        <v>50</v>
      </c>
      <c r="G155" s="6" t="s">
        <v>107</v>
      </c>
      <c r="H155" s="6" t="s">
        <v>108</v>
      </c>
      <c r="I155" t="s">
        <v>208</v>
      </c>
      <c r="J155" s="6" t="s">
        <v>209</v>
      </c>
      <c r="K155" s="6" t="s">
        <v>65</v>
      </c>
      <c r="L155" s="4">
        <v>6</v>
      </c>
      <c r="M155" s="5">
        <v>92000</v>
      </c>
      <c r="N155" s="4">
        <v>0.05</v>
      </c>
      <c r="O155" s="5">
        <v>524400</v>
      </c>
      <c r="P155" s="6" t="s">
        <v>53</v>
      </c>
      <c r="Q155" s="10" t="s">
        <v>46</v>
      </c>
      <c r="R155" s="6" t="s">
        <v>183</v>
      </c>
    </row>
    <row r="156" spans="1:18" x14ac:dyDescent="0.3">
      <c r="A156" s="6" t="s">
        <v>364</v>
      </c>
      <c r="B156" s="7">
        <v>45886</v>
      </c>
      <c r="C156" s="7" t="str">
        <f t="shared" si="4"/>
        <v>August</v>
      </c>
      <c r="D156" s="7" t="str">
        <f t="shared" si="5"/>
        <v>Q3</v>
      </c>
      <c r="E156" s="6" t="s">
        <v>113</v>
      </c>
      <c r="F156" s="6" t="s">
        <v>29</v>
      </c>
      <c r="G156" s="6" t="s">
        <v>84</v>
      </c>
      <c r="H156" s="6" t="s">
        <v>114</v>
      </c>
      <c r="I156" t="s">
        <v>208</v>
      </c>
      <c r="J156" s="6" t="s">
        <v>209</v>
      </c>
      <c r="K156" s="6" t="s">
        <v>65</v>
      </c>
      <c r="L156" s="4">
        <v>9</v>
      </c>
      <c r="M156" s="5">
        <v>92000</v>
      </c>
      <c r="N156" s="4">
        <v>0</v>
      </c>
      <c r="O156" s="5">
        <v>828000</v>
      </c>
      <c r="P156" s="6" t="s">
        <v>86</v>
      </c>
      <c r="Q156" s="10" t="s">
        <v>46</v>
      </c>
      <c r="R156" s="6" t="s">
        <v>61</v>
      </c>
    </row>
    <row r="157" spans="1:18" x14ac:dyDescent="0.3">
      <c r="A157" s="6" t="s">
        <v>366</v>
      </c>
      <c r="B157" s="7">
        <v>45773</v>
      </c>
      <c r="C157" s="7" t="str">
        <f t="shared" si="4"/>
        <v>April</v>
      </c>
      <c r="D157" s="7" t="str">
        <f t="shared" si="5"/>
        <v>Q2</v>
      </c>
      <c r="E157" s="6" t="s">
        <v>39</v>
      </c>
      <c r="F157" s="6" t="s">
        <v>40</v>
      </c>
      <c r="G157" s="6" t="s">
        <v>42</v>
      </c>
      <c r="H157" s="6" t="s">
        <v>42</v>
      </c>
      <c r="I157" t="s">
        <v>160</v>
      </c>
      <c r="J157" s="6" t="s">
        <v>22</v>
      </c>
      <c r="K157" s="6" t="s">
        <v>23</v>
      </c>
      <c r="L157" s="4">
        <v>2</v>
      </c>
      <c r="M157" s="5">
        <v>84000</v>
      </c>
      <c r="N157" s="4">
        <v>0.1</v>
      </c>
      <c r="O157" s="5">
        <v>151200</v>
      </c>
      <c r="P157" s="6" t="s">
        <v>86</v>
      </c>
      <c r="Q157" s="10" t="s">
        <v>36</v>
      </c>
      <c r="R157" s="6" t="s">
        <v>183</v>
      </c>
    </row>
    <row r="158" spans="1:18" x14ac:dyDescent="0.3">
      <c r="A158" s="6" t="s">
        <v>369</v>
      </c>
      <c r="B158" s="7">
        <v>45669</v>
      </c>
      <c r="C158" s="7" t="str">
        <f t="shared" si="4"/>
        <v>January</v>
      </c>
      <c r="D158" s="7" t="str">
        <f t="shared" si="5"/>
        <v>Q1</v>
      </c>
      <c r="E158" s="6" t="s">
        <v>147</v>
      </c>
      <c r="F158" s="6" t="s">
        <v>18</v>
      </c>
      <c r="G158" s="6" t="s">
        <v>148</v>
      </c>
      <c r="H158" s="6" t="s">
        <v>149</v>
      </c>
      <c r="I158" t="s">
        <v>21</v>
      </c>
      <c r="J158" s="6" t="s">
        <v>22</v>
      </c>
      <c r="K158" s="6" t="s">
        <v>23</v>
      </c>
      <c r="L158" s="4">
        <v>14</v>
      </c>
      <c r="M158" s="5">
        <v>20000</v>
      </c>
      <c r="N158" s="4">
        <v>0</v>
      </c>
      <c r="O158" s="5">
        <v>0</v>
      </c>
      <c r="P158" s="6" t="s">
        <v>94</v>
      </c>
      <c r="Q158" s="10" t="s">
        <v>60</v>
      </c>
      <c r="R158" s="6" t="s">
        <v>26</v>
      </c>
    </row>
    <row r="159" spans="1:18" x14ac:dyDescent="0.3">
      <c r="A159" s="6" t="s">
        <v>370</v>
      </c>
      <c r="B159" s="7">
        <v>45720</v>
      </c>
      <c r="C159" s="7" t="str">
        <f t="shared" si="4"/>
        <v>March</v>
      </c>
      <c r="D159" s="7" t="str">
        <f t="shared" si="5"/>
        <v>Q1</v>
      </c>
      <c r="E159" s="6" t="s">
        <v>113</v>
      </c>
      <c r="F159" s="6" t="s">
        <v>29</v>
      </c>
      <c r="G159" s="6" t="s">
        <v>84</v>
      </c>
      <c r="H159" s="6" t="s">
        <v>114</v>
      </c>
      <c r="I159" t="s">
        <v>208</v>
      </c>
      <c r="J159" s="6" t="s">
        <v>209</v>
      </c>
      <c r="K159" s="6" t="s">
        <v>65</v>
      </c>
      <c r="L159" s="4">
        <v>10</v>
      </c>
      <c r="M159" s="5">
        <v>107000</v>
      </c>
      <c r="N159" s="4">
        <v>0.1</v>
      </c>
      <c r="O159" s="5">
        <v>0</v>
      </c>
      <c r="P159" s="6" t="s">
        <v>35</v>
      </c>
      <c r="Q159" s="10" t="s">
        <v>95</v>
      </c>
      <c r="R159" s="6" t="s">
        <v>26</v>
      </c>
    </row>
    <row r="160" spans="1:18" x14ac:dyDescent="0.3">
      <c r="A160" s="6" t="s">
        <v>371</v>
      </c>
      <c r="B160" s="7">
        <v>45833</v>
      </c>
      <c r="C160" s="7" t="str">
        <f t="shared" si="4"/>
        <v>June</v>
      </c>
      <c r="D160" s="7" t="str">
        <f t="shared" si="5"/>
        <v>Q2</v>
      </c>
      <c r="E160" s="6" t="s">
        <v>190</v>
      </c>
      <c r="F160" s="6" t="s">
        <v>191</v>
      </c>
      <c r="G160" s="6" t="s">
        <v>42</v>
      </c>
      <c r="H160" s="6" t="s">
        <v>42</v>
      </c>
      <c r="I160" t="s">
        <v>64</v>
      </c>
      <c r="J160" s="6" t="s">
        <v>32</v>
      </c>
      <c r="K160" s="6" t="s">
        <v>65</v>
      </c>
      <c r="L160" s="4">
        <v>11</v>
      </c>
      <c r="M160" s="5">
        <v>505000</v>
      </c>
      <c r="N160" s="4">
        <v>0</v>
      </c>
      <c r="O160" s="5">
        <v>5555000</v>
      </c>
      <c r="P160" s="6" t="s">
        <v>94</v>
      </c>
      <c r="Q160" s="10" t="s">
        <v>145</v>
      </c>
      <c r="R160" s="6" t="s">
        <v>111</v>
      </c>
    </row>
    <row r="161" spans="1:18" x14ac:dyDescent="0.3">
      <c r="A161" s="6" t="s">
        <v>373</v>
      </c>
      <c r="B161" s="7">
        <v>45930</v>
      </c>
      <c r="C161" s="7" t="str">
        <f t="shared" si="4"/>
        <v>September</v>
      </c>
      <c r="D161" s="7" t="str">
        <f t="shared" si="5"/>
        <v>Q3</v>
      </c>
      <c r="E161" s="6" t="s">
        <v>147</v>
      </c>
      <c r="F161" s="6" t="s">
        <v>18</v>
      </c>
      <c r="G161" s="6" t="s">
        <v>148</v>
      </c>
      <c r="H161" s="6" t="s">
        <v>149</v>
      </c>
      <c r="I161" t="s">
        <v>178</v>
      </c>
      <c r="J161" s="6" t="s">
        <v>101</v>
      </c>
      <c r="K161" s="6" t="s">
        <v>179</v>
      </c>
      <c r="L161" s="4">
        <v>14</v>
      </c>
      <c r="M161" s="5">
        <v>91000</v>
      </c>
      <c r="N161" s="4">
        <v>0</v>
      </c>
      <c r="O161" s="5">
        <v>1274000</v>
      </c>
      <c r="P161" s="6" t="s">
        <v>171</v>
      </c>
      <c r="Q161" s="10" t="s">
        <v>175</v>
      </c>
      <c r="R161" s="6" t="s">
        <v>183</v>
      </c>
    </row>
    <row r="162" spans="1:18" x14ac:dyDescent="0.3">
      <c r="A162" s="6" t="s">
        <v>374</v>
      </c>
      <c r="B162" s="7">
        <v>45885</v>
      </c>
      <c r="C162" s="7" t="str">
        <f t="shared" si="4"/>
        <v>August</v>
      </c>
      <c r="D162" s="7" t="str">
        <f t="shared" si="5"/>
        <v>Q3</v>
      </c>
      <c r="E162" s="6" t="s">
        <v>56</v>
      </c>
      <c r="F162" s="6" t="s">
        <v>18</v>
      </c>
      <c r="G162" s="6" t="s">
        <v>42</v>
      </c>
      <c r="H162" s="6" t="s">
        <v>42</v>
      </c>
      <c r="I162" t="s">
        <v>204</v>
      </c>
      <c r="J162" s="6" t="s">
        <v>101</v>
      </c>
      <c r="K162" s="6" t="s">
        <v>156</v>
      </c>
      <c r="L162" s="4">
        <v>8</v>
      </c>
      <c r="M162" s="5">
        <v>155000</v>
      </c>
      <c r="N162" s="4">
        <v>0</v>
      </c>
      <c r="O162" s="5">
        <v>1240000</v>
      </c>
      <c r="P162" s="6" t="s">
        <v>35</v>
      </c>
      <c r="Q162" s="10" t="s">
        <v>145</v>
      </c>
      <c r="R162" s="6" t="s">
        <v>111</v>
      </c>
    </row>
    <row r="163" spans="1:18" x14ac:dyDescent="0.3">
      <c r="A163" s="6" t="s">
        <v>375</v>
      </c>
      <c r="B163" s="7">
        <v>45878</v>
      </c>
      <c r="C163" s="7" t="str">
        <f t="shared" si="4"/>
        <v>August</v>
      </c>
      <c r="D163" s="7" t="str">
        <f t="shared" si="5"/>
        <v>Q3</v>
      </c>
      <c r="E163" s="6" t="s">
        <v>39</v>
      </c>
      <c r="F163" s="6" t="s">
        <v>40</v>
      </c>
      <c r="G163" s="6" t="s">
        <v>42</v>
      </c>
      <c r="H163" s="6" t="s">
        <v>42</v>
      </c>
      <c r="I163" t="s">
        <v>125</v>
      </c>
      <c r="J163" s="6" t="s">
        <v>32</v>
      </c>
      <c r="K163" s="6" t="s">
        <v>52</v>
      </c>
      <c r="L163" s="4">
        <v>6</v>
      </c>
      <c r="M163" s="5">
        <v>372000</v>
      </c>
      <c r="N163" s="4">
        <v>0</v>
      </c>
      <c r="O163" s="5">
        <v>2232000</v>
      </c>
      <c r="P163" s="6" t="s">
        <v>94</v>
      </c>
      <c r="Q163" s="10" t="s">
        <v>60</v>
      </c>
      <c r="R163" s="6" t="s">
        <v>183</v>
      </c>
    </row>
    <row r="164" spans="1:18" x14ac:dyDescent="0.3">
      <c r="A164" s="6" t="s">
        <v>376</v>
      </c>
      <c r="B164" s="7">
        <v>45744</v>
      </c>
      <c r="C164" s="7" t="str">
        <f t="shared" si="4"/>
        <v>March</v>
      </c>
      <c r="D164" s="7" t="str">
        <f t="shared" si="5"/>
        <v>Q1</v>
      </c>
      <c r="E164" s="6" t="s">
        <v>117</v>
      </c>
      <c r="F164" s="6" t="s">
        <v>68</v>
      </c>
      <c r="G164" s="6" t="s">
        <v>123</v>
      </c>
      <c r="H164" s="6" t="s">
        <v>225</v>
      </c>
      <c r="I164" t="s">
        <v>144</v>
      </c>
      <c r="J164" s="6" t="s">
        <v>32</v>
      </c>
      <c r="K164" s="6" t="s">
        <v>44</v>
      </c>
      <c r="L164" s="4">
        <v>15</v>
      </c>
      <c r="M164" s="5">
        <v>266000</v>
      </c>
      <c r="N164" s="4">
        <v>0</v>
      </c>
      <c r="O164" s="5">
        <v>3990000</v>
      </c>
      <c r="P164" s="6" t="s">
        <v>53</v>
      </c>
      <c r="Q164" s="10" t="s">
        <v>60</v>
      </c>
      <c r="R164" s="6" t="s">
        <v>111</v>
      </c>
    </row>
    <row r="165" spans="1:18" x14ac:dyDescent="0.3">
      <c r="A165" s="6" t="s">
        <v>377</v>
      </c>
      <c r="B165" s="7">
        <v>45959</v>
      </c>
      <c r="C165" s="7" t="str">
        <f t="shared" si="4"/>
        <v>October</v>
      </c>
      <c r="D165" s="7" t="str">
        <f t="shared" si="5"/>
        <v>Q4</v>
      </c>
      <c r="E165" s="6" t="s">
        <v>49</v>
      </c>
      <c r="F165" s="6" t="s">
        <v>50</v>
      </c>
      <c r="G165" s="6" t="s">
        <v>19</v>
      </c>
      <c r="H165" s="6" t="s">
        <v>20</v>
      </c>
      <c r="I165" t="s">
        <v>64</v>
      </c>
      <c r="J165" s="6" t="s">
        <v>32</v>
      </c>
      <c r="K165" s="6" t="s">
        <v>65</v>
      </c>
      <c r="L165" s="4">
        <v>8</v>
      </c>
      <c r="M165" s="5">
        <v>557000</v>
      </c>
      <c r="N165" s="4">
        <v>0</v>
      </c>
      <c r="O165" s="5">
        <v>4456000</v>
      </c>
      <c r="P165" s="6" t="s">
        <v>53</v>
      </c>
      <c r="Q165" s="10" t="s">
        <v>95</v>
      </c>
      <c r="R165" s="6" t="s">
        <v>61</v>
      </c>
    </row>
    <row r="166" spans="1:18" x14ac:dyDescent="0.3">
      <c r="A166" s="6" t="s">
        <v>378</v>
      </c>
      <c r="B166" s="7">
        <v>45718</v>
      </c>
      <c r="C166" s="7" t="str">
        <f t="shared" si="4"/>
        <v>March</v>
      </c>
      <c r="D166" s="7" t="str">
        <f t="shared" si="5"/>
        <v>Q1</v>
      </c>
      <c r="E166" s="6" t="s">
        <v>113</v>
      </c>
      <c r="F166" s="6" t="s">
        <v>29</v>
      </c>
      <c r="G166" s="6" t="s">
        <v>84</v>
      </c>
      <c r="H166" s="6" t="s">
        <v>114</v>
      </c>
      <c r="I166" t="s">
        <v>169</v>
      </c>
      <c r="J166" s="6" t="s">
        <v>22</v>
      </c>
      <c r="K166" s="6" t="s">
        <v>23</v>
      </c>
      <c r="L166" s="4">
        <v>11</v>
      </c>
      <c r="M166" s="5">
        <v>40000</v>
      </c>
      <c r="N166" s="4">
        <v>0</v>
      </c>
      <c r="O166" s="5">
        <v>440000</v>
      </c>
      <c r="P166" s="6" t="s">
        <v>35</v>
      </c>
      <c r="Q166" s="10" t="s">
        <v>60</v>
      </c>
      <c r="R166" s="6" t="s">
        <v>61</v>
      </c>
    </row>
    <row r="167" spans="1:18" x14ac:dyDescent="0.3">
      <c r="A167" s="6" t="s">
        <v>379</v>
      </c>
      <c r="B167" s="7">
        <v>45981</v>
      </c>
      <c r="C167" s="7" t="str">
        <f t="shared" si="4"/>
        <v>November</v>
      </c>
      <c r="D167" s="7" t="str">
        <f t="shared" si="5"/>
        <v>Q4</v>
      </c>
      <c r="E167" s="6" t="s">
        <v>130</v>
      </c>
      <c r="F167" s="6" t="s">
        <v>131</v>
      </c>
      <c r="G167" s="6" t="s">
        <v>19</v>
      </c>
      <c r="H167" s="6" t="s">
        <v>20</v>
      </c>
      <c r="I167" t="s">
        <v>57</v>
      </c>
      <c r="J167" s="6" t="s">
        <v>32</v>
      </c>
      <c r="K167" s="6" t="s">
        <v>58</v>
      </c>
      <c r="L167" s="4">
        <v>5</v>
      </c>
      <c r="M167" s="5">
        <v>605000</v>
      </c>
      <c r="N167" s="4">
        <v>0.05</v>
      </c>
      <c r="O167" s="5">
        <v>2873750</v>
      </c>
      <c r="P167" s="6" t="s">
        <v>618</v>
      </c>
      <c r="Q167" s="10" t="s">
        <v>46</v>
      </c>
      <c r="R167" s="6" t="s">
        <v>61</v>
      </c>
    </row>
    <row r="168" spans="1:18" x14ac:dyDescent="0.3">
      <c r="A168" s="6" t="s">
        <v>380</v>
      </c>
      <c r="B168" s="7">
        <v>45764</v>
      </c>
      <c r="C168" s="7" t="str">
        <f t="shared" si="4"/>
        <v>April</v>
      </c>
      <c r="D168" s="7" t="str">
        <f t="shared" si="5"/>
        <v>Q2</v>
      </c>
      <c r="E168" s="6" t="s">
        <v>39</v>
      </c>
      <c r="F168" s="6" t="s">
        <v>40</v>
      </c>
      <c r="G168" s="6" t="s">
        <v>42</v>
      </c>
      <c r="H168" s="6" t="s">
        <v>42</v>
      </c>
      <c r="I168" t="s">
        <v>169</v>
      </c>
      <c r="J168" s="6" t="s">
        <v>22</v>
      </c>
      <c r="K168" s="6" t="s">
        <v>23</v>
      </c>
      <c r="L168" s="4">
        <v>5</v>
      </c>
      <c r="M168" s="5">
        <v>45000</v>
      </c>
      <c r="N168" s="4">
        <v>0.05</v>
      </c>
      <c r="O168" s="5">
        <v>213750</v>
      </c>
      <c r="P168" s="6" t="s">
        <v>53</v>
      </c>
      <c r="Q168" s="10" t="s">
        <v>25</v>
      </c>
      <c r="R168" s="6" t="s">
        <v>61</v>
      </c>
    </row>
    <row r="169" spans="1:18" x14ac:dyDescent="0.3">
      <c r="A169" s="6" t="s">
        <v>381</v>
      </c>
      <c r="B169" s="7">
        <v>45784</v>
      </c>
      <c r="C169" s="7" t="str">
        <f t="shared" si="4"/>
        <v>May</v>
      </c>
      <c r="D169" s="7" t="str">
        <f t="shared" si="5"/>
        <v>Q2</v>
      </c>
      <c r="E169" s="6" t="s">
        <v>287</v>
      </c>
      <c r="F169" s="6" t="s">
        <v>22</v>
      </c>
      <c r="G169" s="6" t="s">
        <v>19</v>
      </c>
      <c r="H169" s="6" t="s">
        <v>20</v>
      </c>
      <c r="I169" t="s">
        <v>208</v>
      </c>
      <c r="J169" s="6" t="s">
        <v>209</v>
      </c>
      <c r="K169" s="6" t="s">
        <v>65</v>
      </c>
      <c r="L169" s="4">
        <v>4</v>
      </c>
      <c r="M169" s="5">
        <v>97000</v>
      </c>
      <c r="N169" s="4">
        <v>0</v>
      </c>
      <c r="O169" s="5">
        <v>388000</v>
      </c>
      <c r="P169" s="6" t="s">
        <v>616</v>
      </c>
      <c r="Q169" s="10" t="s">
        <v>145</v>
      </c>
      <c r="R169" s="6" t="s">
        <v>61</v>
      </c>
    </row>
    <row r="170" spans="1:18" x14ac:dyDescent="0.3">
      <c r="A170" s="6" t="s">
        <v>383</v>
      </c>
      <c r="B170" s="7">
        <v>45697</v>
      </c>
      <c r="C170" s="7" t="str">
        <f t="shared" si="4"/>
        <v>February</v>
      </c>
      <c r="D170" s="7" t="str">
        <f t="shared" si="5"/>
        <v>Q1</v>
      </c>
      <c r="E170" s="6" t="s">
        <v>67</v>
      </c>
      <c r="F170" s="6" t="s">
        <v>68</v>
      </c>
      <c r="G170" s="6" t="s">
        <v>69</v>
      </c>
      <c r="H170" s="6" t="s">
        <v>70</v>
      </c>
      <c r="I170" t="s">
        <v>109</v>
      </c>
      <c r="J170" s="6" t="s">
        <v>32</v>
      </c>
      <c r="K170" s="6" t="s">
        <v>44</v>
      </c>
      <c r="L170" s="4">
        <v>10</v>
      </c>
      <c r="M170" s="5">
        <v>165000</v>
      </c>
      <c r="N170" s="4">
        <v>0.02</v>
      </c>
      <c r="O170" s="5">
        <v>1617000</v>
      </c>
      <c r="P170" s="6" t="s">
        <v>94</v>
      </c>
      <c r="Q170" s="10" t="s">
        <v>175</v>
      </c>
      <c r="R170" s="6" t="s">
        <v>183</v>
      </c>
    </row>
    <row r="171" spans="1:18" x14ac:dyDescent="0.3">
      <c r="A171" s="6" t="s">
        <v>384</v>
      </c>
      <c r="B171" s="7">
        <v>45686</v>
      </c>
      <c r="C171" s="7" t="str">
        <f t="shared" si="4"/>
        <v>January</v>
      </c>
      <c r="D171" s="7" t="str">
        <f t="shared" si="5"/>
        <v>Q1</v>
      </c>
      <c r="E171" s="6" t="s">
        <v>154</v>
      </c>
      <c r="F171" s="6" t="s">
        <v>131</v>
      </c>
      <c r="G171" s="6" t="s">
        <v>19</v>
      </c>
      <c r="H171" s="6" t="s">
        <v>20</v>
      </c>
      <c r="I171" t="s">
        <v>125</v>
      </c>
      <c r="J171" s="6" t="s">
        <v>32</v>
      </c>
      <c r="K171" s="6" t="s">
        <v>52</v>
      </c>
      <c r="L171" s="4">
        <v>9</v>
      </c>
      <c r="M171" s="5">
        <v>393000</v>
      </c>
      <c r="N171" s="4">
        <v>0</v>
      </c>
      <c r="O171" s="5">
        <v>3537000</v>
      </c>
      <c r="P171" s="6" t="s">
        <v>94</v>
      </c>
      <c r="Q171" s="10" t="s">
        <v>25</v>
      </c>
      <c r="R171" s="6" t="s">
        <v>61</v>
      </c>
    </row>
    <row r="172" spans="1:18" x14ac:dyDescent="0.3">
      <c r="A172" s="6" t="s">
        <v>385</v>
      </c>
      <c r="B172" s="7">
        <v>45875</v>
      </c>
      <c r="C172" s="7" t="str">
        <f t="shared" si="4"/>
        <v>August</v>
      </c>
      <c r="D172" s="7" t="str">
        <f t="shared" si="5"/>
        <v>Q3</v>
      </c>
      <c r="E172" s="6" t="s">
        <v>287</v>
      </c>
      <c r="F172" s="6" t="s">
        <v>22</v>
      </c>
      <c r="G172" s="6" t="s">
        <v>19</v>
      </c>
      <c r="H172" s="6" t="s">
        <v>20</v>
      </c>
      <c r="I172" t="s">
        <v>71</v>
      </c>
      <c r="J172" s="6" t="s">
        <v>32</v>
      </c>
      <c r="K172" s="6" t="s">
        <v>33</v>
      </c>
      <c r="L172" s="4">
        <v>7</v>
      </c>
      <c r="M172" s="5">
        <v>326000</v>
      </c>
      <c r="N172" s="4">
        <v>0.02</v>
      </c>
      <c r="O172" s="5">
        <v>2236360</v>
      </c>
      <c r="P172" s="6" t="s">
        <v>94</v>
      </c>
      <c r="Q172" s="10" t="s">
        <v>46</v>
      </c>
      <c r="R172" s="6" t="s">
        <v>183</v>
      </c>
    </row>
    <row r="173" spans="1:18" x14ac:dyDescent="0.3">
      <c r="A173" s="6" t="s">
        <v>386</v>
      </c>
      <c r="B173" s="7">
        <v>45853</v>
      </c>
      <c r="C173" s="7" t="str">
        <f t="shared" si="4"/>
        <v>July</v>
      </c>
      <c r="D173" s="7" t="str">
        <f t="shared" si="5"/>
        <v>Q3</v>
      </c>
      <c r="E173" s="6" t="s">
        <v>82</v>
      </c>
      <c r="F173" s="6" t="s">
        <v>83</v>
      </c>
      <c r="G173" s="6" t="s">
        <v>84</v>
      </c>
      <c r="H173" s="6" t="s">
        <v>114</v>
      </c>
      <c r="I173" t="s">
        <v>178</v>
      </c>
      <c r="J173" s="6" t="s">
        <v>101</v>
      </c>
      <c r="K173" s="6" t="s">
        <v>179</v>
      </c>
      <c r="L173" s="4">
        <v>5</v>
      </c>
      <c r="M173" s="5">
        <v>85000</v>
      </c>
      <c r="N173" s="4">
        <v>0.1</v>
      </c>
      <c r="O173" s="5">
        <v>382500</v>
      </c>
      <c r="P173" s="6" t="s">
        <v>35</v>
      </c>
      <c r="Q173" s="10" t="s">
        <v>60</v>
      </c>
      <c r="R173" s="6" t="s">
        <v>61</v>
      </c>
    </row>
    <row r="174" spans="1:18" x14ac:dyDescent="0.3">
      <c r="A174" s="6" t="s">
        <v>388</v>
      </c>
      <c r="B174" s="7">
        <v>45788</v>
      </c>
      <c r="C174" s="7" t="str">
        <f t="shared" si="4"/>
        <v>May</v>
      </c>
      <c r="D174" s="7" t="str">
        <f t="shared" si="5"/>
        <v>Q2</v>
      </c>
      <c r="E174" s="6" t="s">
        <v>17</v>
      </c>
      <c r="F174" s="6" t="s">
        <v>18</v>
      </c>
      <c r="G174" s="6" t="s">
        <v>19</v>
      </c>
      <c r="H174" s="6" t="s">
        <v>20</v>
      </c>
      <c r="I174" t="s">
        <v>295</v>
      </c>
      <c r="J174" s="6" t="s">
        <v>32</v>
      </c>
      <c r="K174" s="6" t="s">
        <v>58</v>
      </c>
      <c r="L174" s="4">
        <v>4</v>
      </c>
      <c r="M174" s="5">
        <v>399000</v>
      </c>
      <c r="N174" s="4">
        <v>0</v>
      </c>
      <c r="O174" s="5">
        <v>1564080</v>
      </c>
      <c r="P174" s="6" t="s">
        <v>35</v>
      </c>
      <c r="Q174" s="10" t="s">
        <v>175</v>
      </c>
      <c r="R174" s="6" t="s">
        <v>61</v>
      </c>
    </row>
    <row r="175" spans="1:18" x14ac:dyDescent="0.3">
      <c r="A175" s="6" t="s">
        <v>389</v>
      </c>
      <c r="B175" s="7">
        <v>45953</v>
      </c>
      <c r="C175" s="7" t="str">
        <f t="shared" si="4"/>
        <v>October</v>
      </c>
      <c r="D175" s="7" t="str">
        <f t="shared" si="5"/>
        <v>Q4</v>
      </c>
      <c r="E175" s="6" t="s">
        <v>89</v>
      </c>
      <c r="F175" s="6" t="s">
        <v>90</v>
      </c>
      <c r="G175" s="6" t="s">
        <v>19</v>
      </c>
      <c r="H175" s="6" t="s">
        <v>20</v>
      </c>
      <c r="I175" t="s">
        <v>208</v>
      </c>
      <c r="J175" s="6" t="s">
        <v>209</v>
      </c>
      <c r="K175" s="6" t="s">
        <v>65</v>
      </c>
      <c r="L175" s="4">
        <v>5</v>
      </c>
      <c r="M175" s="5">
        <v>97000</v>
      </c>
      <c r="N175" s="4">
        <v>0</v>
      </c>
      <c r="O175" s="5">
        <v>485000</v>
      </c>
      <c r="P175" s="6" t="s">
        <v>619</v>
      </c>
      <c r="Q175" s="10" t="s">
        <v>145</v>
      </c>
      <c r="R175" s="6" t="s">
        <v>87</v>
      </c>
    </row>
    <row r="176" spans="1:18" x14ac:dyDescent="0.3">
      <c r="A176" s="6" t="s">
        <v>390</v>
      </c>
      <c r="B176" s="7">
        <v>45784</v>
      </c>
      <c r="C176" s="7" t="str">
        <f t="shared" si="4"/>
        <v>May</v>
      </c>
      <c r="D176" s="7" t="str">
        <f t="shared" si="5"/>
        <v>Q2</v>
      </c>
      <c r="E176" s="6" t="s">
        <v>56</v>
      </c>
      <c r="F176" s="6" t="s">
        <v>18</v>
      </c>
      <c r="G176" s="6" t="s">
        <v>42</v>
      </c>
      <c r="H176" s="6" t="s">
        <v>42</v>
      </c>
      <c r="I176" t="s">
        <v>64</v>
      </c>
      <c r="J176" s="6" t="s">
        <v>32</v>
      </c>
      <c r="K176" s="6" t="s">
        <v>65</v>
      </c>
      <c r="L176" s="4">
        <v>9</v>
      </c>
      <c r="M176" s="5">
        <v>471000</v>
      </c>
      <c r="N176" s="4">
        <v>0</v>
      </c>
      <c r="O176" s="5">
        <v>4239000</v>
      </c>
      <c r="P176" s="6" t="s">
        <v>53</v>
      </c>
      <c r="Q176" s="10" t="s">
        <v>145</v>
      </c>
      <c r="R176" s="6" t="s">
        <v>87</v>
      </c>
    </row>
    <row r="177" spans="1:18" x14ac:dyDescent="0.3">
      <c r="A177" s="6" t="s">
        <v>392</v>
      </c>
      <c r="B177" s="7">
        <v>45941</v>
      </c>
      <c r="C177" s="7" t="str">
        <f t="shared" si="4"/>
        <v>October</v>
      </c>
      <c r="D177" s="7" t="str">
        <f t="shared" si="5"/>
        <v>Q4</v>
      </c>
      <c r="E177" s="6" t="s">
        <v>113</v>
      </c>
      <c r="F177" s="6" t="s">
        <v>29</v>
      </c>
      <c r="G177" s="6" t="s">
        <v>84</v>
      </c>
      <c r="H177" s="6" t="s">
        <v>114</v>
      </c>
      <c r="I177" t="s">
        <v>137</v>
      </c>
      <c r="J177" s="6" t="s">
        <v>138</v>
      </c>
      <c r="K177" s="6" t="s">
        <v>138</v>
      </c>
      <c r="L177" s="4">
        <v>15</v>
      </c>
      <c r="M177" s="5">
        <v>27000</v>
      </c>
      <c r="N177" s="4">
        <v>0.02</v>
      </c>
      <c r="O177" s="5">
        <v>396900</v>
      </c>
      <c r="P177" s="6" t="s">
        <v>35</v>
      </c>
      <c r="Q177" s="10" t="s">
        <v>145</v>
      </c>
      <c r="R177" s="6" t="s">
        <v>61</v>
      </c>
    </row>
    <row r="178" spans="1:18" x14ac:dyDescent="0.3">
      <c r="A178" s="6" t="s">
        <v>393</v>
      </c>
      <c r="B178" s="7">
        <v>45945</v>
      </c>
      <c r="C178" s="7" t="str">
        <f t="shared" si="4"/>
        <v>October</v>
      </c>
      <c r="D178" s="7" t="str">
        <f t="shared" si="5"/>
        <v>Q4</v>
      </c>
      <c r="E178" s="6" t="s">
        <v>159</v>
      </c>
      <c r="F178" s="6" t="s">
        <v>131</v>
      </c>
      <c r="G178" s="6" t="s">
        <v>84</v>
      </c>
      <c r="H178" s="6" t="s">
        <v>114</v>
      </c>
      <c r="I178" t="s">
        <v>74</v>
      </c>
      <c r="J178" s="6" t="s">
        <v>32</v>
      </c>
      <c r="K178" s="6" t="s">
        <v>33</v>
      </c>
      <c r="L178" s="4">
        <v>13</v>
      </c>
      <c r="M178" s="5">
        <v>81000</v>
      </c>
      <c r="N178" s="4">
        <v>0.05</v>
      </c>
      <c r="O178" s="5">
        <v>1000350</v>
      </c>
      <c r="P178" s="6" t="s">
        <v>53</v>
      </c>
      <c r="Q178" s="10" t="s">
        <v>60</v>
      </c>
      <c r="R178" s="6" t="s">
        <v>61</v>
      </c>
    </row>
    <row r="179" spans="1:18" x14ac:dyDescent="0.3">
      <c r="A179" s="6" t="s">
        <v>395</v>
      </c>
      <c r="B179" s="7">
        <v>45896</v>
      </c>
      <c r="C179" s="7" t="str">
        <f t="shared" si="4"/>
        <v>August</v>
      </c>
      <c r="D179" s="7" t="str">
        <f t="shared" si="5"/>
        <v>Q3</v>
      </c>
      <c r="E179" s="6" t="s">
        <v>147</v>
      </c>
      <c r="F179" s="6" t="s">
        <v>18</v>
      </c>
      <c r="G179" s="6" t="s">
        <v>148</v>
      </c>
      <c r="H179" s="6" t="s">
        <v>149</v>
      </c>
      <c r="I179" t="s">
        <v>235</v>
      </c>
      <c r="J179" s="6" t="s">
        <v>101</v>
      </c>
      <c r="K179" s="6" t="s">
        <v>156</v>
      </c>
      <c r="L179" s="4">
        <v>5</v>
      </c>
      <c r="M179" s="5">
        <v>206000</v>
      </c>
      <c r="N179" s="4">
        <v>0</v>
      </c>
      <c r="O179" s="5">
        <v>1030000</v>
      </c>
      <c r="P179" s="6" t="s">
        <v>618</v>
      </c>
      <c r="Q179" s="10" t="s">
        <v>46</v>
      </c>
      <c r="R179" s="6" t="s">
        <v>87</v>
      </c>
    </row>
    <row r="180" spans="1:18" x14ac:dyDescent="0.3">
      <c r="A180" s="6" t="s">
        <v>397</v>
      </c>
      <c r="B180" s="7">
        <v>45685</v>
      </c>
      <c r="C180" s="7" t="str">
        <f t="shared" si="4"/>
        <v>January</v>
      </c>
      <c r="D180" s="7" t="str">
        <f t="shared" si="5"/>
        <v>Q1</v>
      </c>
      <c r="E180" s="6" t="s">
        <v>113</v>
      </c>
      <c r="F180" s="6" t="s">
        <v>29</v>
      </c>
      <c r="G180" s="6" t="s">
        <v>84</v>
      </c>
      <c r="H180" s="6" t="s">
        <v>114</v>
      </c>
      <c r="I180" t="s">
        <v>169</v>
      </c>
      <c r="J180" s="6" t="s">
        <v>22</v>
      </c>
      <c r="K180" s="6" t="s">
        <v>23</v>
      </c>
      <c r="L180" s="4">
        <v>15</v>
      </c>
      <c r="M180" s="5">
        <v>46000</v>
      </c>
      <c r="N180" s="4">
        <v>0</v>
      </c>
      <c r="O180" s="5">
        <v>690000</v>
      </c>
      <c r="P180" s="6" t="s">
        <v>35</v>
      </c>
      <c r="Q180" s="10" t="s">
        <v>25</v>
      </c>
      <c r="R180" s="6" t="s">
        <v>87</v>
      </c>
    </row>
    <row r="181" spans="1:18" x14ac:dyDescent="0.3">
      <c r="A181" s="6" t="s">
        <v>399</v>
      </c>
      <c r="B181" s="7">
        <v>45772</v>
      </c>
      <c r="C181" s="7" t="str">
        <f t="shared" si="4"/>
        <v>April</v>
      </c>
      <c r="D181" s="7" t="str">
        <f t="shared" si="5"/>
        <v>Q2</v>
      </c>
      <c r="E181" s="6" t="s">
        <v>67</v>
      </c>
      <c r="F181" s="6" t="s">
        <v>68</v>
      </c>
      <c r="G181" s="6" t="s">
        <v>69</v>
      </c>
      <c r="H181" s="6" t="s">
        <v>70</v>
      </c>
      <c r="I181" t="s">
        <v>125</v>
      </c>
      <c r="J181" s="6" t="s">
        <v>32</v>
      </c>
      <c r="K181" s="6" t="s">
        <v>52</v>
      </c>
      <c r="L181" s="4">
        <v>13</v>
      </c>
      <c r="M181" s="5">
        <v>365000</v>
      </c>
      <c r="N181" s="4">
        <v>0</v>
      </c>
      <c r="O181" s="5">
        <v>4745000</v>
      </c>
      <c r="P181" s="6" t="s">
        <v>617</v>
      </c>
      <c r="Q181" s="10" t="s">
        <v>145</v>
      </c>
      <c r="R181" s="6" t="s">
        <v>61</v>
      </c>
    </row>
    <row r="182" spans="1:18" x14ac:dyDescent="0.3">
      <c r="A182" s="6" t="s">
        <v>400</v>
      </c>
      <c r="B182" s="7">
        <v>45837</v>
      </c>
      <c r="C182" s="7" t="str">
        <f t="shared" si="4"/>
        <v>June</v>
      </c>
      <c r="D182" s="7" t="str">
        <f t="shared" si="5"/>
        <v>Q2</v>
      </c>
      <c r="E182" s="6" t="s">
        <v>113</v>
      </c>
      <c r="F182" s="6" t="s">
        <v>29</v>
      </c>
      <c r="G182" s="6" t="s">
        <v>84</v>
      </c>
      <c r="H182" s="6" t="s">
        <v>114</v>
      </c>
      <c r="I182" t="s">
        <v>208</v>
      </c>
      <c r="J182" s="6" t="s">
        <v>209</v>
      </c>
      <c r="K182" s="6" t="s">
        <v>65</v>
      </c>
      <c r="L182" s="4">
        <v>11</v>
      </c>
      <c r="M182" s="5">
        <v>102000</v>
      </c>
      <c r="N182" s="4">
        <v>0.02</v>
      </c>
      <c r="O182" s="5">
        <v>1099560</v>
      </c>
      <c r="P182" s="6" t="s">
        <v>53</v>
      </c>
      <c r="Q182" s="10" t="s">
        <v>75</v>
      </c>
      <c r="R182" s="6" t="s">
        <v>61</v>
      </c>
    </row>
    <row r="183" spans="1:18" x14ac:dyDescent="0.3">
      <c r="A183" s="6" t="s">
        <v>401</v>
      </c>
      <c r="B183" s="7">
        <v>45752</v>
      </c>
      <c r="C183" s="7" t="str">
        <f t="shared" si="4"/>
        <v>April</v>
      </c>
      <c r="D183" s="7" t="str">
        <f t="shared" si="5"/>
        <v>Q2</v>
      </c>
      <c r="E183" s="6" t="s">
        <v>147</v>
      </c>
      <c r="F183" s="6" t="s">
        <v>18</v>
      </c>
      <c r="G183" s="6" t="s">
        <v>148</v>
      </c>
      <c r="H183" s="6" t="s">
        <v>149</v>
      </c>
      <c r="I183" t="s">
        <v>137</v>
      </c>
      <c r="J183" s="6" t="s">
        <v>138</v>
      </c>
      <c r="K183" s="6" t="s">
        <v>138</v>
      </c>
      <c r="L183" s="4">
        <v>15</v>
      </c>
      <c r="M183" s="5">
        <v>28000</v>
      </c>
      <c r="N183" s="4">
        <v>0.02</v>
      </c>
      <c r="O183" s="5">
        <v>411600</v>
      </c>
      <c r="P183" s="6" t="s">
        <v>171</v>
      </c>
      <c r="Q183" s="10" t="s">
        <v>46</v>
      </c>
      <c r="R183" s="6" t="s">
        <v>61</v>
      </c>
    </row>
    <row r="184" spans="1:18" x14ac:dyDescent="0.3">
      <c r="A184" s="6" t="s">
        <v>403</v>
      </c>
      <c r="B184" s="7">
        <v>45833</v>
      </c>
      <c r="C184" s="7" t="str">
        <f t="shared" si="4"/>
        <v>June</v>
      </c>
      <c r="D184" s="7" t="str">
        <f t="shared" si="5"/>
        <v>Q2</v>
      </c>
      <c r="E184" s="6" t="s">
        <v>190</v>
      </c>
      <c r="F184" s="6" t="s">
        <v>191</v>
      </c>
      <c r="G184" s="6" t="s">
        <v>42</v>
      </c>
      <c r="H184" s="6" t="s">
        <v>42</v>
      </c>
      <c r="I184" t="s">
        <v>57</v>
      </c>
      <c r="J184" s="6" t="s">
        <v>32</v>
      </c>
      <c r="K184" s="6" t="s">
        <v>58</v>
      </c>
      <c r="L184" s="4">
        <v>13</v>
      </c>
      <c r="M184" s="5">
        <v>628000</v>
      </c>
      <c r="N184" s="4">
        <v>0.02</v>
      </c>
      <c r="O184" s="5">
        <v>8000720</v>
      </c>
      <c r="P184" s="6" t="s">
        <v>53</v>
      </c>
      <c r="Q184" s="10" t="s">
        <v>60</v>
      </c>
      <c r="R184" s="6" t="s">
        <v>61</v>
      </c>
    </row>
    <row r="185" spans="1:18" x14ac:dyDescent="0.3">
      <c r="A185" s="6" t="s">
        <v>404</v>
      </c>
      <c r="B185" s="7">
        <v>45681</v>
      </c>
      <c r="C185" s="7" t="str">
        <f t="shared" si="4"/>
        <v>January</v>
      </c>
      <c r="D185" s="7" t="str">
        <f t="shared" si="5"/>
        <v>Q1</v>
      </c>
      <c r="E185" s="6" t="s">
        <v>135</v>
      </c>
      <c r="F185" s="6" t="s">
        <v>50</v>
      </c>
      <c r="G185" s="6" t="s">
        <v>107</v>
      </c>
      <c r="H185" s="6" t="s">
        <v>108</v>
      </c>
      <c r="I185" t="s">
        <v>109</v>
      </c>
      <c r="J185" s="6" t="s">
        <v>32</v>
      </c>
      <c r="K185" s="6" t="s">
        <v>44</v>
      </c>
      <c r="L185" s="4">
        <v>15</v>
      </c>
      <c r="M185" s="5">
        <v>149000</v>
      </c>
      <c r="N185" s="4">
        <v>0</v>
      </c>
      <c r="O185" s="5">
        <v>2235000</v>
      </c>
      <c r="P185" s="6" t="s">
        <v>35</v>
      </c>
      <c r="Q185" s="10" t="s">
        <v>36</v>
      </c>
      <c r="R185" s="6" t="s">
        <v>61</v>
      </c>
    </row>
    <row r="186" spans="1:18" x14ac:dyDescent="0.3">
      <c r="A186" s="6" t="s">
        <v>405</v>
      </c>
      <c r="B186" s="7">
        <v>45944</v>
      </c>
      <c r="C186" s="7" t="str">
        <f t="shared" si="4"/>
        <v>October</v>
      </c>
      <c r="D186" s="7" t="str">
        <f t="shared" si="5"/>
        <v>Q4</v>
      </c>
      <c r="E186" s="6" t="s">
        <v>17</v>
      </c>
      <c r="F186" s="6" t="s">
        <v>18</v>
      </c>
      <c r="G186" s="6" t="s">
        <v>19</v>
      </c>
      <c r="H186" s="6" t="s">
        <v>20</v>
      </c>
      <c r="I186" t="s">
        <v>178</v>
      </c>
      <c r="J186" s="6" t="s">
        <v>101</v>
      </c>
      <c r="K186" s="6" t="s">
        <v>179</v>
      </c>
      <c r="L186" s="4">
        <v>9</v>
      </c>
      <c r="M186" s="5">
        <v>97000</v>
      </c>
      <c r="N186" s="4">
        <v>0.02</v>
      </c>
      <c r="O186" s="5">
        <v>855540</v>
      </c>
      <c r="P186" s="6" t="s">
        <v>619</v>
      </c>
      <c r="Q186" s="10" t="s">
        <v>95</v>
      </c>
      <c r="R186" s="6" t="s">
        <v>183</v>
      </c>
    </row>
    <row r="187" spans="1:18" x14ac:dyDescent="0.3">
      <c r="A187" s="6" t="s">
        <v>406</v>
      </c>
      <c r="B187" s="7">
        <v>46002</v>
      </c>
      <c r="C187" s="7" t="str">
        <f t="shared" si="4"/>
        <v>December</v>
      </c>
      <c r="D187" s="7" t="str">
        <f t="shared" si="5"/>
        <v>Q4</v>
      </c>
      <c r="E187" s="6" t="s">
        <v>28</v>
      </c>
      <c r="F187" s="6" t="s">
        <v>29</v>
      </c>
      <c r="G187" s="6" t="s">
        <v>30</v>
      </c>
      <c r="H187" s="6" t="s">
        <v>20</v>
      </c>
      <c r="I187" t="s">
        <v>125</v>
      </c>
      <c r="J187" s="6" t="s">
        <v>32</v>
      </c>
      <c r="K187" s="6" t="s">
        <v>52</v>
      </c>
      <c r="L187" s="4">
        <v>3</v>
      </c>
      <c r="M187" s="5">
        <v>381000</v>
      </c>
      <c r="N187" s="4">
        <v>0</v>
      </c>
      <c r="O187" s="5">
        <v>1143000</v>
      </c>
      <c r="P187" s="6" t="s">
        <v>86</v>
      </c>
      <c r="Q187" s="10" t="s">
        <v>25</v>
      </c>
      <c r="R187" s="6" t="s">
        <v>87</v>
      </c>
    </row>
    <row r="188" spans="1:18" x14ac:dyDescent="0.3">
      <c r="A188" s="6" t="s">
        <v>407</v>
      </c>
      <c r="B188" s="7">
        <v>45712</v>
      </c>
      <c r="C188" s="7" t="str">
        <f t="shared" si="4"/>
        <v>February</v>
      </c>
      <c r="D188" s="7" t="str">
        <f t="shared" si="5"/>
        <v>Q1</v>
      </c>
      <c r="E188" s="6" t="s">
        <v>113</v>
      </c>
      <c r="F188" s="6" t="s">
        <v>29</v>
      </c>
      <c r="G188" s="6" t="s">
        <v>84</v>
      </c>
      <c r="H188" s="6" t="s">
        <v>114</v>
      </c>
      <c r="I188" t="s">
        <v>74</v>
      </c>
      <c r="J188" s="6" t="s">
        <v>32</v>
      </c>
      <c r="K188" s="6" t="s">
        <v>33</v>
      </c>
      <c r="L188" s="4">
        <v>10</v>
      </c>
      <c r="M188" s="5">
        <v>97000</v>
      </c>
      <c r="N188" s="4">
        <v>0.05</v>
      </c>
      <c r="O188" s="5">
        <v>921500</v>
      </c>
      <c r="P188" s="6" t="s">
        <v>171</v>
      </c>
      <c r="Q188" s="10" t="s">
        <v>60</v>
      </c>
      <c r="R188" s="6" t="s">
        <v>61</v>
      </c>
    </row>
    <row r="189" spans="1:18" x14ac:dyDescent="0.3">
      <c r="A189" s="6" t="s">
        <v>408</v>
      </c>
      <c r="B189" s="7">
        <v>45794</v>
      </c>
      <c r="C189" s="7" t="str">
        <f t="shared" si="4"/>
        <v>May</v>
      </c>
      <c r="D189" s="7" t="str">
        <f t="shared" si="5"/>
        <v>Q2</v>
      </c>
      <c r="E189" s="6" t="s">
        <v>106</v>
      </c>
      <c r="F189" s="6" t="s">
        <v>50</v>
      </c>
      <c r="G189" s="6" t="s">
        <v>107</v>
      </c>
      <c r="H189" s="6" t="s">
        <v>108</v>
      </c>
      <c r="I189" t="s">
        <v>160</v>
      </c>
      <c r="J189" s="6" t="s">
        <v>22</v>
      </c>
      <c r="K189" s="6" t="s">
        <v>23</v>
      </c>
      <c r="L189" s="4">
        <v>9</v>
      </c>
      <c r="M189" s="5">
        <v>75000</v>
      </c>
      <c r="N189" s="4">
        <v>0</v>
      </c>
      <c r="O189" s="5">
        <v>675000</v>
      </c>
      <c r="P189" s="6" t="s">
        <v>53</v>
      </c>
      <c r="Q189" s="10" t="s">
        <v>36</v>
      </c>
      <c r="R189" s="6" t="s">
        <v>183</v>
      </c>
    </row>
    <row r="190" spans="1:18" x14ac:dyDescent="0.3">
      <c r="A190" s="6" t="s">
        <v>410</v>
      </c>
      <c r="B190" s="7">
        <v>45995</v>
      </c>
      <c r="C190" s="7" t="str">
        <f t="shared" si="4"/>
        <v>December</v>
      </c>
      <c r="D190" s="7" t="str">
        <f t="shared" si="5"/>
        <v>Q4</v>
      </c>
      <c r="E190" s="6" t="s">
        <v>621</v>
      </c>
      <c r="F190" s="6" t="s">
        <v>22</v>
      </c>
      <c r="G190" s="6" t="s">
        <v>19</v>
      </c>
      <c r="H190" s="6" t="s">
        <v>20</v>
      </c>
      <c r="I190" t="s">
        <v>64</v>
      </c>
      <c r="J190" s="6" t="s">
        <v>32</v>
      </c>
      <c r="K190" s="6" t="s">
        <v>65</v>
      </c>
      <c r="L190" s="4">
        <v>15</v>
      </c>
      <c r="M190" s="5">
        <v>574000</v>
      </c>
      <c r="N190" s="4">
        <v>0.05</v>
      </c>
      <c r="O190" s="5">
        <v>8179500</v>
      </c>
      <c r="P190" s="6" t="s">
        <v>53</v>
      </c>
      <c r="Q190" s="10" t="s">
        <v>46</v>
      </c>
      <c r="R190" s="6" t="s">
        <v>61</v>
      </c>
    </row>
    <row r="191" spans="1:18" x14ac:dyDescent="0.3">
      <c r="A191" s="6" t="s">
        <v>411</v>
      </c>
      <c r="B191" s="7">
        <v>46001</v>
      </c>
      <c r="C191" s="7" t="str">
        <f t="shared" si="4"/>
        <v>December</v>
      </c>
      <c r="D191" s="7" t="str">
        <f t="shared" si="5"/>
        <v>Q4</v>
      </c>
      <c r="E191" s="6" t="s">
        <v>130</v>
      </c>
      <c r="F191" s="6" t="s">
        <v>131</v>
      </c>
      <c r="G191" s="6" t="s">
        <v>19</v>
      </c>
      <c r="H191" s="6" t="s">
        <v>20</v>
      </c>
      <c r="I191" t="s">
        <v>109</v>
      </c>
      <c r="J191" s="6" t="s">
        <v>32</v>
      </c>
      <c r="K191" s="6" t="s">
        <v>44</v>
      </c>
      <c r="L191" s="4">
        <v>13</v>
      </c>
      <c r="M191" s="5">
        <v>135000</v>
      </c>
      <c r="N191" s="4">
        <v>0.1</v>
      </c>
      <c r="O191" s="5">
        <v>1579500</v>
      </c>
      <c r="P191" s="6" t="s">
        <v>618</v>
      </c>
      <c r="Q191" s="10" t="s">
        <v>36</v>
      </c>
      <c r="R191" s="6" t="s">
        <v>87</v>
      </c>
    </row>
    <row r="192" spans="1:18" x14ac:dyDescent="0.3">
      <c r="A192" s="6" t="s">
        <v>414</v>
      </c>
      <c r="B192" s="7">
        <v>45820</v>
      </c>
      <c r="C192" s="7" t="str">
        <f t="shared" si="4"/>
        <v>June</v>
      </c>
      <c r="D192" s="7" t="str">
        <f t="shared" si="5"/>
        <v>Q2</v>
      </c>
      <c r="E192" s="6" t="s">
        <v>56</v>
      </c>
      <c r="F192" s="6" t="s">
        <v>18</v>
      </c>
      <c r="G192" s="6" t="s">
        <v>42</v>
      </c>
      <c r="H192" s="6" t="s">
        <v>42</v>
      </c>
      <c r="I192" t="s">
        <v>620</v>
      </c>
      <c r="J192" s="6" t="s">
        <v>101</v>
      </c>
      <c r="K192" s="6" t="s">
        <v>102</v>
      </c>
      <c r="L192" s="4">
        <v>2</v>
      </c>
      <c r="M192" s="5">
        <v>108000</v>
      </c>
      <c r="N192" s="4">
        <v>0.05</v>
      </c>
      <c r="O192" s="5">
        <v>0</v>
      </c>
      <c r="P192" s="6" t="s">
        <v>618</v>
      </c>
      <c r="Q192" s="10" t="s">
        <v>175</v>
      </c>
      <c r="R192" s="6" t="s">
        <v>26</v>
      </c>
    </row>
    <row r="193" spans="1:18" x14ac:dyDescent="0.3">
      <c r="A193" s="6" t="s">
        <v>415</v>
      </c>
      <c r="B193" s="7">
        <v>45733</v>
      </c>
      <c r="C193" s="7" t="str">
        <f t="shared" si="4"/>
        <v>March</v>
      </c>
      <c r="D193" s="7" t="str">
        <f t="shared" si="5"/>
        <v>Q1</v>
      </c>
      <c r="E193" s="6" t="s">
        <v>214</v>
      </c>
      <c r="F193" s="6" t="s">
        <v>102</v>
      </c>
      <c r="G193" s="6" t="s">
        <v>19</v>
      </c>
      <c r="H193" s="6" t="s">
        <v>20</v>
      </c>
      <c r="I193" t="s">
        <v>64</v>
      </c>
      <c r="J193" s="6" t="s">
        <v>32</v>
      </c>
      <c r="K193" s="6" t="s">
        <v>65</v>
      </c>
      <c r="L193" s="4">
        <v>2</v>
      </c>
      <c r="M193" s="5">
        <v>589000</v>
      </c>
      <c r="N193" s="4">
        <v>0</v>
      </c>
      <c r="O193" s="5">
        <v>1178000</v>
      </c>
      <c r="P193" s="6" t="s">
        <v>86</v>
      </c>
      <c r="Q193" s="10" t="s">
        <v>60</v>
      </c>
      <c r="R193" s="6" t="s">
        <v>183</v>
      </c>
    </row>
    <row r="194" spans="1:18" x14ac:dyDescent="0.3">
      <c r="A194" s="6" t="s">
        <v>416</v>
      </c>
      <c r="B194" s="7">
        <v>45663</v>
      </c>
      <c r="C194" s="7" t="str">
        <f t="shared" si="4"/>
        <v>January</v>
      </c>
      <c r="D194" s="7" t="str">
        <f t="shared" si="5"/>
        <v>Q1</v>
      </c>
      <c r="E194" s="6" t="s">
        <v>82</v>
      </c>
      <c r="F194" s="6" t="s">
        <v>83</v>
      </c>
      <c r="G194" s="6" t="s">
        <v>84</v>
      </c>
      <c r="H194" s="6" t="s">
        <v>114</v>
      </c>
      <c r="I194" t="s">
        <v>57</v>
      </c>
      <c r="J194" s="6" t="s">
        <v>32</v>
      </c>
      <c r="K194" s="6" t="s">
        <v>58</v>
      </c>
      <c r="L194" s="4">
        <v>4</v>
      </c>
      <c r="M194" s="5">
        <v>743000</v>
      </c>
      <c r="N194" s="4">
        <v>0</v>
      </c>
      <c r="O194" s="5">
        <v>2972000</v>
      </c>
      <c r="P194" s="6" t="s">
        <v>53</v>
      </c>
      <c r="Q194" s="10" t="s">
        <v>60</v>
      </c>
      <c r="R194" s="6" t="s">
        <v>61</v>
      </c>
    </row>
    <row r="195" spans="1:18" x14ac:dyDescent="0.3">
      <c r="A195" s="6" t="s">
        <v>419</v>
      </c>
      <c r="B195" s="7">
        <v>46007</v>
      </c>
      <c r="C195" s="7" t="str">
        <f t="shared" ref="C195:C258" si="6">TEXT(B195, "mmmm")</f>
        <v>December</v>
      </c>
      <c r="D195" s="7" t="str">
        <f t="shared" ref="D195:D258" si="7">"Q" &amp; ROUNDUP(MONTH(B195)/3,0)</f>
        <v>Q4</v>
      </c>
      <c r="E195" s="6" t="s">
        <v>214</v>
      </c>
      <c r="F195" s="6" t="s">
        <v>102</v>
      </c>
      <c r="G195" s="6" t="s">
        <v>19</v>
      </c>
      <c r="H195" s="6" t="s">
        <v>20</v>
      </c>
      <c r="I195" t="s">
        <v>204</v>
      </c>
      <c r="J195" s="6" t="s">
        <v>101</v>
      </c>
      <c r="K195" s="6" t="s">
        <v>156</v>
      </c>
      <c r="L195" s="4">
        <v>9</v>
      </c>
      <c r="M195" s="5">
        <v>168000</v>
      </c>
      <c r="N195" s="4">
        <v>0.02</v>
      </c>
      <c r="O195" s="5">
        <v>1481760</v>
      </c>
      <c r="P195" s="6" t="s">
        <v>35</v>
      </c>
      <c r="Q195" s="10" t="s">
        <v>95</v>
      </c>
      <c r="R195" s="6" t="s">
        <v>61</v>
      </c>
    </row>
    <row r="196" spans="1:18" x14ac:dyDescent="0.3">
      <c r="A196" s="6" t="s">
        <v>420</v>
      </c>
      <c r="B196" s="7">
        <v>45666</v>
      </c>
      <c r="C196" s="7" t="str">
        <f t="shared" si="6"/>
        <v>January</v>
      </c>
      <c r="D196" s="7" t="str">
        <f t="shared" si="7"/>
        <v>Q1</v>
      </c>
      <c r="E196" s="6" t="s">
        <v>214</v>
      </c>
      <c r="F196" s="6" t="s">
        <v>102</v>
      </c>
      <c r="G196" s="6" t="s">
        <v>19</v>
      </c>
      <c r="H196" s="6" t="s">
        <v>20</v>
      </c>
      <c r="I196" t="s">
        <v>137</v>
      </c>
      <c r="J196" s="6" t="s">
        <v>138</v>
      </c>
      <c r="K196" s="6" t="s">
        <v>138</v>
      </c>
      <c r="L196" s="4">
        <v>8</v>
      </c>
      <c r="M196" s="5">
        <v>29000</v>
      </c>
      <c r="N196" s="4">
        <v>0.05</v>
      </c>
      <c r="O196" s="5">
        <v>220400</v>
      </c>
      <c r="P196" s="6" t="s">
        <v>53</v>
      </c>
      <c r="Q196" s="10" t="s">
        <v>46</v>
      </c>
      <c r="R196" s="6" t="s">
        <v>87</v>
      </c>
    </row>
    <row r="197" spans="1:18" x14ac:dyDescent="0.3">
      <c r="A197" s="6" t="s">
        <v>421</v>
      </c>
      <c r="B197" s="7">
        <v>45726</v>
      </c>
      <c r="C197" s="7" t="str">
        <f t="shared" si="6"/>
        <v>March</v>
      </c>
      <c r="D197" s="7" t="str">
        <f t="shared" si="7"/>
        <v>Q1</v>
      </c>
      <c r="E197" s="6" t="s">
        <v>89</v>
      </c>
      <c r="F197" s="6" t="s">
        <v>90</v>
      </c>
      <c r="G197" s="6" t="s">
        <v>19</v>
      </c>
      <c r="H197" s="6" t="s">
        <v>20</v>
      </c>
      <c r="I197" t="s">
        <v>178</v>
      </c>
      <c r="J197" s="6" t="s">
        <v>101</v>
      </c>
      <c r="K197" s="6" t="s">
        <v>179</v>
      </c>
      <c r="L197" s="4">
        <v>12</v>
      </c>
      <c r="M197" s="5">
        <v>105000</v>
      </c>
      <c r="N197" s="4">
        <v>0</v>
      </c>
      <c r="O197" s="5">
        <v>0</v>
      </c>
      <c r="P197" s="6" t="s">
        <v>53</v>
      </c>
      <c r="Q197" s="10" t="s">
        <v>60</v>
      </c>
      <c r="R197" s="6" t="s">
        <v>26</v>
      </c>
    </row>
    <row r="198" spans="1:18" x14ac:dyDescent="0.3">
      <c r="A198" s="6" t="s">
        <v>422</v>
      </c>
      <c r="B198" s="7">
        <v>45714</v>
      </c>
      <c r="C198" s="7" t="str">
        <f t="shared" si="6"/>
        <v>February</v>
      </c>
      <c r="D198" s="7" t="str">
        <f t="shared" si="7"/>
        <v>Q1</v>
      </c>
      <c r="E198" s="6" t="s">
        <v>113</v>
      </c>
      <c r="F198" s="6" t="s">
        <v>29</v>
      </c>
      <c r="G198" s="6" t="s">
        <v>84</v>
      </c>
      <c r="H198" s="6" t="s">
        <v>114</v>
      </c>
      <c r="I198" t="s">
        <v>128</v>
      </c>
      <c r="J198" s="6" t="s">
        <v>22</v>
      </c>
      <c r="K198" s="6" t="s">
        <v>92</v>
      </c>
      <c r="L198" s="4">
        <v>5</v>
      </c>
      <c r="M198" s="5">
        <v>219000</v>
      </c>
      <c r="N198" s="4">
        <v>0.02</v>
      </c>
      <c r="O198" s="5">
        <v>0</v>
      </c>
      <c r="P198" s="6" t="s">
        <v>35</v>
      </c>
      <c r="Q198" s="10" t="s">
        <v>145</v>
      </c>
      <c r="R198" s="6" t="s">
        <v>26</v>
      </c>
    </row>
    <row r="199" spans="1:18" x14ac:dyDescent="0.3">
      <c r="A199" s="6" t="s">
        <v>424</v>
      </c>
      <c r="B199" s="7">
        <v>45952</v>
      </c>
      <c r="C199" s="7" t="str">
        <f t="shared" si="6"/>
        <v>October</v>
      </c>
      <c r="D199" s="7" t="str">
        <f t="shared" si="7"/>
        <v>Q4</v>
      </c>
      <c r="E199" s="6" t="s">
        <v>89</v>
      </c>
      <c r="F199" s="6" t="s">
        <v>90</v>
      </c>
      <c r="G199" s="6" t="s">
        <v>19</v>
      </c>
      <c r="H199" s="6" t="s">
        <v>20</v>
      </c>
      <c r="I199" t="s">
        <v>169</v>
      </c>
      <c r="J199" s="6" t="s">
        <v>22</v>
      </c>
      <c r="K199" s="6" t="s">
        <v>23</v>
      </c>
      <c r="L199" s="4">
        <v>14</v>
      </c>
      <c r="M199" s="5">
        <v>43000</v>
      </c>
      <c r="N199" s="4">
        <v>0.05</v>
      </c>
      <c r="O199" s="5">
        <v>571900</v>
      </c>
      <c r="P199" s="6" t="s">
        <v>53</v>
      </c>
      <c r="Q199" s="10" t="s">
        <v>25</v>
      </c>
      <c r="R199" s="6" t="s">
        <v>61</v>
      </c>
    </row>
    <row r="200" spans="1:18" x14ac:dyDescent="0.3">
      <c r="A200" s="6" t="s">
        <v>425</v>
      </c>
      <c r="B200" s="7">
        <v>45969</v>
      </c>
      <c r="C200" s="7" t="str">
        <f t="shared" si="6"/>
        <v>November</v>
      </c>
      <c r="D200" s="7" t="str">
        <f t="shared" si="7"/>
        <v>Q4</v>
      </c>
      <c r="E200" s="6" t="s">
        <v>287</v>
      </c>
      <c r="F200" s="6" t="s">
        <v>22</v>
      </c>
      <c r="G200" s="6" t="s">
        <v>19</v>
      </c>
      <c r="H200" s="6" t="s">
        <v>20</v>
      </c>
      <c r="I200" t="s">
        <v>620</v>
      </c>
      <c r="J200" s="6" t="s">
        <v>101</v>
      </c>
      <c r="K200" s="6" t="s">
        <v>102</v>
      </c>
      <c r="L200" s="4">
        <v>3</v>
      </c>
      <c r="M200" s="5">
        <v>131000</v>
      </c>
      <c r="N200" s="4">
        <v>0</v>
      </c>
      <c r="O200" s="5">
        <v>393000</v>
      </c>
      <c r="P200" s="6" t="s">
        <v>86</v>
      </c>
      <c r="Q200" s="10" t="s">
        <v>145</v>
      </c>
      <c r="R200" s="6" t="s">
        <v>87</v>
      </c>
    </row>
    <row r="201" spans="1:18" x14ac:dyDescent="0.3">
      <c r="A201" s="6" t="s">
        <v>426</v>
      </c>
      <c r="B201" s="7">
        <v>45799</v>
      </c>
      <c r="C201" s="7" t="str">
        <f t="shared" si="6"/>
        <v>May</v>
      </c>
      <c r="D201" s="7" t="str">
        <f t="shared" si="7"/>
        <v>Q2</v>
      </c>
      <c r="E201" s="6" t="s">
        <v>154</v>
      </c>
      <c r="F201" s="6" t="s">
        <v>131</v>
      </c>
      <c r="G201" s="6" t="s">
        <v>19</v>
      </c>
      <c r="H201" s="6" t="s">
        <v>20</v>
      </c>
      <c r="I201" t="s">
        <v>620</v>
      </c>
      <c r="J201" s="6" t="s">
        <v>101</v>
      </c>
      <c r="K201" s="6" t="s">
        <v>102</v>
      </c>
      <c r="L201" s="4">
        <v>2</v>
      </c>
      <c r="M201" s="5">
        <v>136000</v>
      </c>
      <c r="N201" s="4">
        <v>0.02</v>
      </c>
      <c r="O201" s="5">
        <v>266560</v>
      </c>
      <c r="P201" s="6" t="s">
        <v>86</v>
      </c>
      <c r="Q201" s="10" t="s">
        <v>175</v>
      </c>
      <c r="R201" s="6" t="s">
        <v>87</v>
      </c>
    </row>
    <row r="202" spans="1:18" x14ac:dyDescent="0.3">
      <c r="A202" s="6" t="s">
        <v>427</v>
      </c>
      <c r="B202" s="7">
        <v>45945</v>
      </c>
      <c r="C202" s="7" t="str">
        <f t="shared" si="6"/>
        <v>October</v>
      </c>
      <c r="D202" s="7" t="str">
        <f t="shared" si="7"/>
        <v>Q4</v>
      </c>
      <c r="E202" s="6" t="s">
        <v>89</v>
      </c>
      <c r="F202" s="6" t="s">
        <v>90</v>
      </c>
      <c r="G202" s="6" t="s">
        <v>19</v>
      </c>
      <c r="H202" s="6" t="s">
        <v>20</v>
      </c>
      <c r="I202" t="s">
        <v>137</v>
      </c>
      <c r="J202" s="6" t="s">
        <v>138</v>
      </c>
      <c r="K202" s="6" t="s">
        <v>138</v>
      </c>
      <c r="L202" s="4">
        <v>5</v>
      </c>
      <c r="M202" s="5">
        <v>31000</v>
      </c>
      <c r="N202" s="4">
        <v>0.1</v>
      </c>
      <c r="O202" s="5">
        <v>139500</v>
      </c>
      <c r="P202" s="6" t="s">
        <v>53</v>
      </c>
      <c r="Q202" s="10" t="s">
        <v>60</v>
      </c>
      <c r="R202" s="6" t="s">
        <v>61</v>
      </c>
    </row>
    <row r="203" spans="1:18" x14ac:dyDescent="0.3">
      <c r="A203" s="6" t="s">
        <v>428</v>
      </c>
      <c r="B203" s="7">
        <v>45955</v>
      </c>
      <c r="C203" s="7" t="str">
        <f t="shared" si="6"/>
        <v>October</v>
      </c>
      <c r="D203" s="7" t="str">
        <f t="shared" si="7"/>
        <v>Q4</v>
      </c>
      <c r="E203" s="6" t="s">
        <v>17</v>
      </c>
      <c r="F203" s="6" t="s">
        <v>18</v>
      </c>
      <c r="G203" s="6" t="s">
        <v>19</v>
      </c>
      <c r="H203" s="6" t="s">
        <v>20</v>
      </c>
      <c r="I203" t="s">
        <v>128</v>
      </c>
      <c r="J203" s="6" t="s">
        <v>22</v>
      </c>
      <c r="K203" s="6" t="s">
        <v>92</v>
      </c>
      <c r="L203" s="4">
        <v>3</v>
      </c>
      <c r="M203" s="5">
        <v>198000</v>
      </c>
      <c r="N203" s="4">
        <v>0.1</v>
      </c>
      <c r="O203" s="5">
        <v>534600</v>
      </c>
      <c r="P203" s="6" t="s">
        <v>619</v>
      </c>
      <c r="Q203" s="10" t="s">
        <v>36</v>
      </c>
      <c r="R203" s="6" t="s">
        <v>61</v>
      </c>
    </row>
    <row r="204" spans="1:18" x14ac:dyDescent="0.3">
      <c r="A204" s="6" t="s">
        <v>429</v>
      </c>
      <c r="B204" s="7">
        <v>45772</v>
      </c>
      <c r="C204" s="7" t="str">
        <f t="shared" si="6"/>
        <v>April</v>
      </c>
      <c r="D204" s="7" t="str">
        <f t="shared" si="7"/>
        <v>Q2</v>
      </c>
      <c r="E204" s="6" t="s">
        <v>63</v>
      </c>
      <c r="F204" s="6" t="s">
        <v>18</v>
      </c>
      <c r="G204" s="6" t="s">
        <v>42</v>
      </c>
      <c r="H204" s="6" t="s">
        <v>42</v>
      </c>
      <c r="I204" t="s">
        <v>620</v>
      </c>
      <c r="J204" s="6" t="s">
        <v>101</v>
      </c>
      <c r="K204" s="6" t="s">
        <v>102</v>
      </c>
      <c r="L204" s="4">
        <v>8</v>
      </c>
      <c r="M204" s="5">
        <v>111000</v>
      </c>
      <c r="N204" s="4">
        <v>0</v>
      </c>
      <c r="O204" s="5">
        <v>888000</v>
      </c>
      <c r="P204" s="6" t="s">
        <v>86</v>
      </c>
      <c r="Q204" s="10" t="s">
        <v>46</v>
      </c>
      <c r="R204" s="6" t="s">
        <v>61</v>
      </c>
    </row>
    <row r="205" spans="1:18" x14ac:dyDescent="0.3">
      <c r="A205" s="6" t="s">
        <v>431</v>
      </c>
      <c r="B205" s="7">
        <v>45980</v>
      </c>
      <c r="C205" s="7" t="str">
        <f t="shared" si="6"/>
        <v>November</v>
      </c>
      <c r="D205" s="7" t="str">
        <f t="shared" si="7"/>
        <v>Q4</v>
      </c>
      <c r="E205" s="6" t="s">
        <v>287</v>
      </c>
      <c r="F205" s="6" t="s">
        <v>22</v>
      </c>
      <c r="G205" s="6" t="s">
        <v>19</v>
      </c>
      <c r="H205" s="6" t="s">
        <v>20</v>
      </c>
      <c r="I205" t="s">
        <v>178</v>
      </c>
      <c r="J205" s="6" t="s">
        <v>101</v>
      </c>
      <c r="K205" s="6" t="s">
        <v>179</v>
      </c>
      <c r="L205" s="4">
        <v>1</v>
      </c>
      <c r="M205" s="5">
        <v>108000</v>
      </c>
      <c r="N205" s="4">
        <v>0.1</v>
      </c>
      <c r="O205" s="5">
        <v>97200</v>
      </c>
      <c r="P205" s="6" t="s">
        <v>35</v>
      </c>
      <c r="Q205" s="10" t="s">
        <v>175</v>
      </c>
      <c r="R205" s="6" t="s">
        <v>61</v>
      </c>
    </row>
    <row r="206" spans="1:18" x14ac:dyDescent="0.3">
      <c r="A206" s="6" t="s">
        <v>432</v>
      </c>
      <c r="B206" s="7">
        <v>45935</v>
      </c>
      <c r="C206" s="7" t="str">
        <f t="shared" si="6"/>
        <v>October</v>
      </c>
      <c r="D206" s="7" t="str">
        <f t="shared" si="7"/>
        <v>Q4</v>
      </c>
      <c r="E206" s="6" t="s">
        <v>63</v>
      </c>
      <c r="F206" s="6" t="s">
        <v>18</v>
      </c>
      <c r="G206" s="6" t="s">
        <v>42</v>
      </c>
      <c r="H206" s="6" t="s">
        <v>42</v>
      </c>
      <c r="I206" t="s">
        <v>64</v>
      </c>
      <c r="J206" s="6" t="s">
        <v>32</v>
      </c>
      <c r="K206" s="6" t="s">
        <v>65</v>
      </c>
      <c r="L206" s="4">
        <v>8</v>
      </c>
      <c r="M206" s="5">
        <v>596000</v>
      </c>
      <c r="N206" s="4">
        <v>0.02</v>
      </c>
      <c r="O206" s="5">
        <v>4672640</v>
      </c>
      <c r="P206" s="6" t="s">
        <v>94</v>
      </c>
      <c r="Q206" s="10" t="s">
        <v>46</v>
      </c>
      <c r="R206" s="6" t="s">
        <v>183</v>
      </c>
    </row>
    <row r="207" spans="1:18" x14ac:dyDescent="0.3">
      <c r="A207" s="6" t="s">
        <v>434</v>
      </c>
      <c r="B207" s="7">
        <v>45955</v>
      </c>
      <c r="C207" s="7" t="str">
        <f t="shared" si="6"/>
        <v>October</v>
      </c>
      <c r="D207" s="7" t="str">
        <f t="shared" si="7"/>
        <v>Q4</v>
      </c>
      <c r="E207" s="6" t="s">
        <v>17</v>
      </c>
      <c r="F207" s="6" t="s">
        <v>18</v>
      </c>
      <c r="G207" s="6" t="s">
        <v>19</v>
      </c>
      <c r="H207" s="6" t="s">
        <v>20</v>
      </c>
      <c r="I207" t="s">
        <v>160</v>
      </c>
      <c r="J207" s="6" t="s">
        <v>22</v>
      </c>
      <c r="K207" s="6" t="s">
        <v>23</v>
      </c>
      <c r="L207" s="4">
        <v>8</v>
      </c>
      <c r="M207" s="5">
        <v>84000</v>
      </c>
      <c r="N207" s="4">
        <v>0.1</v>
      </c>
      <c r="O207" s="5">
        <v>604800</v>
      </c>
      <c r="P207" s="6" t="s">
        <v>94</v>
      </c>
      <c r="Q207" s="10" t="s">
        <v>175</v>
      </c>
      <c r="R207" s="6" t="s">
        <v>183</v>
      </c>
    </row>
    <row r="208" spans="1:18" x14ac:dyDescent="0.3">
      <c r="A208" s="6" t="s">
        <v>435</v>
      </c>
      <c r="B208" s="7">
        <v>46019</v>
      </c>
      <c r="C208" s="7" t="str">
        <f t="shared" si="6"/>
        <v>December</v>
      </c>
      <c r="D208" s="7" t="str">
        <f t="shared" si="7"/>
        <v>Q4</v>
      </c>
      <c r="E208" s="6" t="s">
        <v>67</v>
      </c>
      <c r="F208" s="6" t="s">
        <v>68</v>
      </c>
      <c r="G208" s="6" t="s">
        <v>69</v>
      </c>
      <c r="H208" s="6" t="s">
        <v>70</v>
      </c>
      <c r="I208" t="s">
        <v>74</v>
      </c>
      <c r="J208" s="6" t="s">
        <v>32</v>
      </c>
      <c r="K208" s="6" t="s">
        <v>33</v>
      </c>
      <c r="L208" s="4">
        <v>11</v>
      </c>
      <c r="M208" s="5">
        <v>77000</v>
      </c>
      <c r="N208" s="4">
        <v>0</v>
      </c>
      <c r="O208" s="5">
        <v>847000</v>
      </c>
      <c r="P208" s="6" t="s">
        <v>35</v>
      </c>
      <c r="Q208" s="10" t="s">
        <v>95</v>
      </c>
      <c r="R208" s="6" t="s">
        <v>61</v>
      </c>
    </row>
    <row r="209" spans="1:18" x14ac:dyDescent="0.3">
      <c r="A209" s="6" t="s">
        <v>436</v>
      </c>
      <c r="B209" s="7">
        <v>45980</v>
      </c>
      <c r="C209" s="7" t="str">
        <f t="shared" si="6"/>
        <v>November</v>
      </c>
      <c r="D209" s="7" t="str">
        <f t="shared" si="7"/>
        <v>Q4</v>
      </c>
      <c r="E209" s="6" t="s">
        <v>28</v>
      </c>
      <c r="F209" s="6" t="s">
        <v>29</v>
      </c>
      <c r="G209" s="6" t="s">
        <v>30</v>
      </c>
      <c r="H209" s="6" t="s">
        <v>20</v>
      </c>
      <c r="I209" t="s">
        <v>125</v>
      </c>
      <c r="J209" s="6" t="s">
        <v>32</v>
      </c>
      <c r="K209" s="6" t="s">
        <v>52</v>
      </c>
      <c r="L209" s="4">
        <v>8</v>
      </c>
      <c r="M209" s="5">
        <v>381000</v>
      </c>
      <c r="N209" s="4">
        <v>0</v>
      </c>
      <c r="O209" s="5">
        <v>3048000</v>
      </c>
      <c r="P209" s="6" t="s">
        <v>53</v>
      </c>
      <c r="Q209" s="10" t="s">
        <v>36</v>
      </c>
      <c r="R209" s="6" t="s">
        <v>183</v>
      </c>
    </row>
    <row r="210" spans="1:18" x14ac:dyDescent="0.3">
      <c r="A210" s="6" t="s">
        <v>437</v>
      </c>
      <c r="B210" s="7">
        <v>45818</v>
      </c>
      <c r="C210" s="7" t="str">
        <f t="shared" si="6"/>
        <v>June</v>
      </c>
      <c r="D210" s="7" t="str">
        <f t="shared" si="7"/>
        <v>Q2</v>
      </c>
      <c r="E210" s="6" t="s">
        <v>89</v>
      </c>
      <c r="F210" s="6" t="s">
        <v>90</v>
      </c>
      <c r="G210" s="6" t="s">
        <v>19</v>
      </c>
      <c r="H210" s="6" t="s">
        <v>20</v>
      </c>
      <c r="I210" t="s">
        <v>204</v>
      </c>
      <c r="J210" s="6" t="s">
        <v>101</v>
      </c>
      <c r="K210" s="6" t="s">
        <v>156</v>
      </c>
      <c r="L210" s="4">
        <v>9</v>
      </c>
      <c r="M210" s="5">
        <v>149000</v>
      </c>
      <c r="N210" s="4">
        <v>0.05</v>
      </c>
      <c r="O210" s="5">
        <v>1273950</v>
      </c>
      <c r="P210" s="6" t="s">
        <v>619</v>
      </c>
      <c r="Q210" s="10" t="s">
        <v>46</v>
      </c>
      <c r="R210" s="6" t="s">
        <v>87</v>
      </c>
    </row>
    <row r="211" spans="1:18" x14ac:dyDescent="0.3">
      <c r="A211" s="6" t="s">
        <v>595</v>
      </c>
      <c r="B211" s="7">
        <v>45988</v>
      </c>
      <c r="C211" s="7" t="str">
        <f t="shared" si="6"/>
        <v>November</v>
      </c>
      <c r="D211" s="7" t="str">
        <f t="shared" si="7"/>
        <v>Q4</v>
      </c>
      <c r="E211" s="6" t="s">
        <v>190</v>
      </c>
      <c r="F211" s="6" t="s">
        <v>191</v>
      </c>
      <c r="G211" s="6" t="s">
        <v>42</v>
      </c>
      <c r="H211" s="6" t="s">
        <v>42</v>
      </c>
      <c r="I211" t="s">
        <v>295</v>
      </c>
      <c r="J211" s="6" t="s">
        <v>32</v>
      </c>
      <c r="K211" s="6" t="s">
        <v>58</v>
      </c>
      <c r="L211" s="4">
        <v>1</v>
      </c>
      <c r="M211" s="5">
        <v>397000</v>
      </c>
      <c r="N211" s="4">
        <v>0.02</v>
      </c>
      <c r="O211" s="5">
        <v>389060</v>
      </c>
      <c r="P211" s="6" t="s">
        <v>35</v>
      </c>
      <c r="Q211" s="10" t="s">
        <v>621</v>
      </c>
      <c r="R211" s="6" t="s">
        <v>61</v>
      </c>
    </row>
    <row r="212" spans="1:18" x14ac:dyDescent="0.3">
      <c r="A212" s="6" t="s">
        <v>596</v>
      </c>
      <c r="B212" s="7">
        <v>45925</v>
      </c>
      <c r="C212" s="7" t="str">
        <f t="shared" si="6"/>
        <v>September</v>
      </c>
      <c r="D212" s="7" t="str">
        <f t="shared" si="7"/>
        <v>Q3</v>
      </c>
      <c r="E212" s="6" t="s">
        <v>89</v>
      </c>
      <c r="F212" s="6" t="s">
        <v>90</v>
      </c>
      <c r="G212" s="6" t="s">
        <v>19</v>
      </c>
      <c r="H212" s="6" t="s">
        <v>20</v>
      </c>
      <c r="I212" t="s">
        <v>178</v>
      </c>
      <c r="J212" s="6" t="s">
        <v>101</v>
      </c>
      <c r="K212" s="6" t="s">
        <v>179</v>
      </c>
      <c r="L212" s="4">
        <v>2</v>
      </c>
      <c r="M212" s="5">
        <v>108000</v>
      </c>
      <c r="N212" s="4">
        <v>0.02</v>
      </c>
      <c r="O212" s="5">
        <v>211680</v>
      </c>
      <c r="P212" s="6" t="s">
        <v>94</v>
      </c>
      <c r="Q212" s="10" t="s">
        <v>621</v>
      </c>
      <c r="R212" s="6" t="s">
        <v>61</v>
      </c>
    </row>
    <row r="213" spans="1:18" x14ac:dyDescent="0.3">
      <c r="A213" s="6" t="s">
        <v>441</v>
      </c>
      <c r="B213" s="7">
        <v>45981</v>
      </c>
      <c r="C213" s="7" t="str">
        <f t="shared" si="6"/>
        <v>November</v>
      </c>
      <c r="D213" s="7" t="str">
        <f t="shared" si="7"/>
        <v>Q4</v>
      </c>
      <c r="E213" s="6" t="s">
        <v>117</v>
      </c>
      <c r="F213" s="6" t="s">
        <v>68</v>
      </c>
      <c r="G213" s="6" t="s">
        <v>123</v>
      </c>
      <c r="H213" s="6" t="s">
        <v>225</v>
      </c>
      <c r="I213" t="s">
        <v>208</v>
      </c>
      <c r="J213" s="6" t="s">
        <v>209</v>
      </c>
      <c r="K213" s="6" t="s">
        <v>65</v>
      </c>
      <c r="L213" s="4">
        <v>10</v>
      </c>
      <c r="M213" s="5">
        <v>88000</v>
      </c>
      <c r="N213" s="4">
        <v>0</v>
      </c>
      <c r="O213" s="5">
        <v>880000</v>
      </c>
      <c r="P213" s="6" t="s">
        <v>617</v>
      </c>
      <c r="Q213" s="10" t="s">
        <v>25</v>
      </c>
      <c r="R213" s="6" t="s">
        <v>87</v>
      </c>
    </row>
    <row r="214" spans="1:18" x14ac:dyDescent="0.3">
      <c r="A214" s="6" t="s">
        <v>442</v>
      </c>
      <c r="B214" s="7">
        <v>45706</v>
      </c>
      <c r="C214" s="7" t="str">
        <f t="shared" si="6"/>
        <v>February</v>
      </c>
      <c r="D214" s="7" t="str">
        <f t="shared" si="7"/>
        <v>Q1</v>
      </c>
      <c r="E214" s="6" t="s">
        <v>135</v>
      </c>
      <c r="F214" s="6" t="s">
        <v>50</v>
      </c>
      <c r="G214" s="6" t="s">
        <v>107</v>
      </c>
      <c r="H214" s="6" t="s">
        <v>108</v>
      </c>
      <c r="I214" t="s">
        <v>144</v>
      </c>
      <c r="J214" s="6" t="s">
        <v>32</v>
      </c>
      <c r="K214" s="6" t="s">
        <v>44</v>
      </c>
      <c r="L214" s="4">
        <v>12</v>
      </c>
      <c r="M214" s="5">
        <v>251000</v>
      </c>
      <c r="N214" s="4">
        <v>0.05</v>
      </c>
      <c r="O214" s="5">
        <v>2861400</v>
      </c>
      <c r="P214" s="6" t="s">
        <v>35</v>
      </c>
      <c r="Q214" s="10" t="s">
        <v>46</v>
      </c>
      <c r="R214" s="6" t="s">
        <v>61</v>
      </c>
    </row>
    <row r="215" spans="1:18" x14ac:dyDescent="0.3">
      <c r="A215" s="6" t="s">
        <v>443</v>
      </c>
      <c r="B215" s="7">
        <v>45946</v>
      </c>
      <c r="C215" s="7" t="str">
        <f t="shared" si="6"/>
        <v>October</v>
      </c>
      <c r="D215" s="7" t="str">
        <f t="shared" si="7"/>
        <v>Q4</v>
      </c>
      <c r="E215" s="6" t="s">
        <v>621</v>
      </c>
      <c r="F215" s="6" t="s">
        <v>90</v>
      </c>
      <c r="G215" s="6" t="s">
        <v>19</v>
      </c>
      <c r="H215" s="6" t="s">
        <v>20</v>
      </c>
      <c r="I215" t="s">
        <v>144</v>
      </c>
      <c r="J215" s="6" t="s">
        <v>32</v>
      </c>
      <c r="K215" s="6" t="s">
        <v>44</v>
      </c>
      <c r="L215" s="4">
        <v>0</v>
      </c>
      <c r="M215" s="5">
        <v>212000</v>
      </c>
      <c r="N215" s="4">
        <v>0</v>
      </c>
      <c r="O215" s="5">
        <v>2968000</v>
      </c>
      <c r="P215" s="6" t="s">
        <v>86</v>
      </c>
      <c r="Q215" s="10" t="s">
        <v>95</v>
      </c>
      <c r="R215" s="6" t="s">
        <v>183</v>
      </c>
    </row>
    <row r="216" spans="1:18" x14ac:dyDescent="0.3">
      <c r="A216" s="6" t="s">
        <v>444</v>
      </c>
      <c r="B216" s="7">
        <v>45997</v>
      </c>
      <c r="C216" s="7" t="str">
        <f t="shared" si="6"/>
        <v>December</v>
      </c>
      <c r="D216" s="7" t="str">
        <f t="shared" si="7"/>
        <v>Q4</v>
      </c>
      <c r="E216" s="6" t="s">
        <v>287</v>
      </c>
      <c r="F216" s="6" t="s">
        <v>22</v>
      </c>
      <c r="G216" s="6" t="s">
        <v>19</v>
      </c>
      <c r="H216" s="6" t="s">
        <v>20</v>
      </c>
      <c r="I216" t="s">
        <v>178</v>
      </c>
      <c r="J216" s="6" t="s">
        <v>101</v>
      </c>
      <c r="K216" s="6" t="s">
        <v>179</v>
      </c>
      <c r="L216" s="4">
        <v>3</v>
      </c>
      <c r="M216" s="5">
        <v>91000</v>
      </c>
      <c r="N216" s="4">
        <v>0.02</v>
      </c>
      <c r="O216" s="5">
        <v>0</v>
      </c>
      <c r="P216" s="6" t="s">
        <v>79</v>
      </c>
      <c r="Q216" s="10" t="s">
        <v>36</v>
      </c>
      <c r="R216" s="6" t="s">
        <v>26</v>
      </c>
    </row>
    <row r="217" spans="1:18" x14ac:dyDescent="0.3">
      <c r="A217" s="6" t="s">
        <v>445</v>
      </c>
      <c r="B217" s="7">
        <v>45749</v>
      </c>
      <c r="C217" s="7" t="str">
        <f t="shared" si="6"/>
        <v>April</v>
      </c>
      <c r="D217" s="7" t="str">
        <f t="shared" si="7"/>
        <v>Q2</v>
      </c>
      <c r="E217" s="6" t="s">
        <v>82</v>
      </c>
      <c r="F217" s="6" t="s">
        <v>83</v>
      </c>
      <c r="G217" s="6" t="s">
        <v>84</v>
      </c>
      <c r="H217" s="6" t="s">
        <v>114</v>
      </c>
      <c r="I217" t="s">
        <v>64</v>
      </c>
      <c r="J217" s="6" t="s">
        <v>32</v>
      </c>
      <c r="K217" s="6" t="s">
        <v>65</v>
      </c>
      <c r="L217" s="4">
        <v>10</v>
      </c>
      <c r="M217" s="5">
        <v>509000</v>
      </c>
      <c r="N217" s="4">
        <v>0</v>
      </c>
      <c r="O217" s="5">
        <v>5090000</v>
      </c>
      <c r="P217" s="6" t="s">
        <v>35</v>
      </c>
      <c r="Q217" s="10" t="s">
        <v>36</v>
      </c>
      <c r="R217" s="6" t="s">
        <v>87</v>
      </c>
    </row>
    <row r="218" spans="1:18" x14ac:dyDescent="0.3">
      <c r="A218" s="6" t="s">
        <v>446</v>
      </c>
      <c r="B218" s="7">
        <v>45880</v>
      </c>
      <c r="C218" s="7" t="str">
        <f t="shared" si="6"/>
        <v>August</v>
      </c>
      <c r="D218" s="7" t="str">
        <f t="shared" si="7"/>
        <v>Q3</v>
      </c>
      <c r="E218" s="6" t="s">
        <v>82</v>
      </c>
      <c r="F218" s="6" t="s">
        <v>83</v>
      </c>
      <c r="G218" s="6" t="s">
        <v>84</v>
      </c>
      <c r="H218" s="6" t="s">
        <v>114</v>
      </c>
      <c r="I218" t="s">
        <v>144</v>
      </c>
      <c r="J218" s="6" t="s">
        <v>32</v>
      </c>
      <c r="K218" s="6" t="s">
        <v>44</v>
      </c>
      <c r="L218" s="4">
        <v>10</v>
      </c>
      <c r="M218" s="5">
        <v>214000</v>
      </c>
      <c r="N218" s="4">
        <v>0.02</v>
      </c>
      <c r="O218" s="5">
        <v>2097200</v>
      </c>
      <c r="P218" s="6" t="s">
        <v>86</v>
      </c>
      <c r="Q218" s="10" t="s">
        <v>175</v>
      </c>
      <c r="R218" s="6" t="s">
        <v>183</v>
      </c>
    </row>
    <row r="219" spans="1:18" x14ac:dyDescent="0.3">
      <c r="A219" s="6" t="s">
        <v>447</v>
      </c>
      <c r="B219" s="7">
        <v>45749</v>
      </c>
      <c r="C219" s="7" t="str">
        <f t="shared" si="6"/>
        <v>April</v>
      </c>
      <c r="D219" s="7" t="str">
        <f t="shared" si="7"/>
        <v>Q2</v>
      </c>
      <c r="E219" s="6" t="s">
        <v>147</v>
      </c>
      <c r="F219" s="6" t="s">
        <v>18</v>
      </c>
      <c r="G219" s="6" t="s">
        <v>148</v>
      </c>
      <c r="H219" s="6" t="s">
        <v>149</v>
      </c>
      <c r="I219" t="s">
        <v>57</v>
      </c>
      <c r="J219" s="6" t="s">
        <v>32</v>
      </c>
      <c r="K219" s="6" t="s">
        <v>58</v>
      </c>
      <c r="L219" s="4">
        <v>3</v>
      </c>
      <c r="M219" s="5">
        <v>715000</v>
      </c>
      <c r="N219" s="4">
        <v>0.05</v>
      </c>
      <c r="O219" s="5">
        <v>0</v>
      </c>
      <c r="P219" s="6" t="s">
        <v>619</v>
      </c>
      <c r="Q219" s="10" t="s">
        <v>60</v>
      </c>
      <c r="R219" s="6" t="s">
        <v>26</v>
      </c>
    </row>
    <row r="220" spans="1:18" x14ac:dyDescent="0.3">
      <c r="A220" s="6" t="s">
        <v>448</v>
      </c>
      <c r="B220" s="7">
        <v>45874</v>
      </c>
      <c r="C220" s="7" t="str">
        <f t="shared" si="6"/>
        <v>August</v>
      </c>
      <c r="D220" s="7" t="str">
        <f t="shared" si="7"/>
        <v>Q3</v>
      </c>
      <c r="E220" s="6" t="s">
        <v>113</v>
      </c>
      <c r="F220" s="6" t="s">
        <v>29</v>
      </c>
      <c r="G220" s="6" t="s">
        <v>84</v>
      </c>
      <c r="H220" s="6" t="s">
        <v>114</v>
      </c>
      <c r="I220" t="s">
        <v>178</v>
      </c>
      <c r="J220" s="6" t="s">
        <v>101</v>
      </c>
      <c r="K220" s="6" t="s">
        <v>179</v>
      </c>
      <c r="L220" s="4">
        <v>13</v>
      </c>
      <c r="M220" s="5">
        <v>102000</v>
      </c>
      <c r="N220" s="4">
        <v>0.1</v>
      </c>
      <c r="O220" s="5">
        <v>1193400</v>
      </c>
      <c r="P220" s="6" t="s">
        <v>79</v>
      </c>
      <c r="Q220" s="10" t="s">
        <v>36</v>
      </c>
      <c r="R220" s="6" t="s">
        <v>111</v>
      </c>
    </row>
    <row r="221" spans="1:18" x14ac:dyDescent="0.3">
      <c r="A221" s="6" t="s">
        <v>449</v>
      </c>
      <c r="B221" s="7">
        <v>45761</v>
      </c>
      <c r="C221" s="7" t="str">
        <f t="shared" si="6"/>
        <v>April</v>
      </c>
      <c r="D221" s="7" t="str">
        <f t="shared" si="7"/>
        <v>Q2</v>
      </c>
      <c r="E221" s="6" t="s">
        <v>63</v>
      </c>
      <c r="F221" s="6" t="s">
        <v>18</v>
      </c>
      <c r="G221" s="6" t="s">
        <v>42</v>
      </c>
      <c r="H221" s="6" t="s">
        <v>42</v>
      </c>
      <c r="I221" t="s">
        <v>295</v>
      </c>
      <c r="J221" s="6" t="s">
        <v>32</v>
      </c>
      <c r="K221" s="6" t="s">
        <v>58</v>
      </c>
      <c r="L221" s="4">
        <v>1</v>
      </c>
      <c r="M221" s="5">
        <v>401000</v>
      </c>
      <c r="N221" s="4">
        <v>0</v>
      </c>
      <c r="O221" s="5">
        <v>401000</v>
      </c>
      <c r="P221" s="6" t="s">
        <v>86</v>
      </c>
      <c r="Q221" s="10" t="s">
        <v>25</v>
      </c>
      <c r="R221" s="6" t="s">
        <v>87</v>
      </c>
    </row>
    <row r="222" spans="1:18" x14ac:dyDescent="0.3">
      <c r="A222" s="6" t="s">
        <v>451</v>
      </c>
      <c r="B222" s="7">
        <v>45741</v>
      </c>
      <c r="C222" s="7" t="str">
        <f t="shared" si="6"/>
        <v>March</v>
      </c>
      <c r="D222" s="7" t="str">
        <f t="shared" si="7"/>
        <v>Q1</v>
      </c>
      <c r="E222" s="6" t="s">
        <v>287</v>
      </c>
      <c r="F222" s="6" t="s">
        <v>22</v>
      </c>
      <c r="G222" s="6" t="s">
        <v>19</v>
      </c>
      <c r="H222" s="6" t="s">
        <v>20</v>
      </c>
      <c r="I222" t="s">
        <v>235</v>
      </c>
      <c r="J222" s="6" t="s">
        <v>101</v>
      </c>
      <c r="K222" s="6" t="s">
        <v>156</v>
      </c>
      <c r="L222" s="4">
        <v>5</v>
      </c>
      <c r="M222" s="5">
        <v>206000</v>
      </c>
      <c r="N222" s="4">
        <v>0</v>
      </c>
      <c r="O222" s="5">
        <v>1030000</v>
      </c>
      <c r="P222" s="6" t="s">
        <v>53</v>
      </c>
      <c r="Q222" s="10" t="s">
        <v>25</v>
      </c>
      <c r="R222" s="6" t="s">
        <v>183</v>
      </c>
    </row>
    <row r="223" spans="1:18" x14ac:dyDescent="0.3">
      <c r="A223" s="6" t="s">
        <v>452</v>
      </c>
      <c r="B223" s="7">
        <v>45917</v>
      </c>
      <c r="C223" s="7" t="str">
        <f t="shared" si="6"/>
        <v>September</v>
      </c>
      <c r="D223" s="7" t="str">
        <f t="shared" si="7"/>
        <v>Q3</v>
      </c>
      <c r="E223" s="6" t="s">
        <v>214</v>
      </c>
      <c r="F223" s="6" t="s">
        <v>102</v>
      </c>
      <c r="G223" s="6" t="s">
        <v>19</v>
      </c>
      <c r="H223" s="6" t="s">
        <v>20</v>
      </c>
      <c r="I223" t="s">
        <v>144</v>
      </c>
      <c r="J223" s="6" t="s">
        <v>32</v>
      </c>
      <c r="K223" s="6" t="s">
        <v>44</v>
      </c>
      <c r="L223" s="4">
        <v>14</v>
      </c>
      <c r="M223" s="5">
        <v>226000</v>
      </c>
      <c r="N223" s="4">
        <v>0</v>
      </c>
      <c r="O223" s="5">
        <v>3164000</v>
      </c>
      <c r="P223" s="6" t="s">
        <v>86</v>
      </c>
      <c r="Q223" s="10" t="s">
        <v>25</v>
      </c>
      <c r="R223" s="6" t="s">
        <v>87</v>
      </c>
    </row>
    <row r="224" spans="1:18" x14ac:dyDescent="0.3">
      <c r="A224" s="6" t="s">
        <v>453</v>
      </c>
      <c r="B224" s="7">
        <v>46019</v>
      </c>
      <c r="C224" s="7" t="str">
        <f t="shared" si="6"/>
        <v>December</v>
      </c>
      <c r="D224" s="7" t="str">
        <f t="shared" si="7"/>
        <v>Q4</v>
      </c>
      <c r="E224" s="6" t="s">
        <v>130</v>
      </c>
      <c r="F224" s="6" t="s">
        <v>131</v>
      </c>
      <c r="G224" s="6" t="s">
        <v>19</v>
      </c>
      <c r="H224" s="6" t="s">
        <v>20</v>
      </c>
      <c r="I224" t="s">
        <v>178</v>
      </c>
      <c r="J224" s="6" t="s">
        <v>101</v>
      </c>
      <c r="K224" s="6" t="s">
        <v>179</v>
      </c>
      <c r="L224" s="4">
        <v>12</v>
      </c>
      <c r="M224" s="5">
        <v>85000</v>
      </c>
      <c r="N224" s="4">
        <v>0</v>
      </c>
      <c r="O224" s="5">
        <v>1020000</v>
      </c>
      <c r="P224" s="6" t="s">
        <v>94</v>
      </c>
      <c r="Q224" s="10" t="s">
        <v>36</v>
      </c>
      <c r="R224" s="6" t="s">
        <v>87</v>
      </c>
    </row>
    <row r="225" spans="1:18" x14ac:dyDescent="0.3">
      <c r="A225" s="6" t="s">
        <v>454</v>
      </c>
      <c r="B225" s="7">
        <v>45799</v>
      </c>
      <c r="C225" s="7" t="str">
        <f t="shared" si="6"/>
        <v>May</v>
      </c>
      <c r="D225" s="7" t="str">
        <f t="shared" si="7"/>
        <v>Q2</v>
      </c>
      <c r="E225" s="6" t="s">
        <v>56</v>
      </c>
      <c r="F225" s="6" t="s">
        <v>18</v>
      </c>
      <c r="G225" s="6" t="s">
        <v>42</v>
      </c>
      <c r="H225" s="6" t="s">
        <v>42</v>
      </c>
      <c r="I225" t="s">
        <v>204</v>
      </c>
      <c r="J225" s="6" t="s">
        <v>101</v>
      </c>
      <c r="K225" s="6" t="s">
        <v>156</v>
      </c>
      <c r="L225" s="4">
        <v>1</v>
      </c>
      <c r="M225" s="5">
        <v>163000</v>
      </c>
      <c r="N225" s="4">
        <v>0.05</v>
      </c>
      <c r="O225" s="5">
        <v>154850</v>
      </c>
      <c r="P225" s="6" t="s">
        <v>94</v>
      </c>
      <c r="Q225" s="10" t="s">
        <v>46</v>
      </c>
      <c r="R225" s="6" t="s">
        <v>61</v>
      </c>
    </row>
    <row r="226" spans="1:18" x14ac:dyDescent="0.3">
      <c r="A226" s="6" t="s">
        <v>455</v>
      </c>
      <c r="B226" s="7">
        <v>45944</v>
      </c>
      <c r="C226" s="7" t="str">
        <f t="shared" si="6"/>
        <v>October</v>
      </c>
      <c r="D226" s="7" t="str">
        <f t="shared" si="7"/>
        <v>Q4</v>
      </c>
      <c r="E226" s="6" t="s">
        <v>49</v>
      </c>
      <c r="F226" s="6" t="s">
        <v>50</v>
      </c>
      <c r="G226" s="6" t="s">
        <v>19</v>
      </c>
      <c r="H226" s="6" t="s">
        <v>20</v>
      </c>
      <c r="I226" t="s">
        <v>620</v>
      </c>
      <c r="J226" s="6" t="s">
        <v>101</v>
      </c>
      <c r="K226" s="6" t="s">
        <v>102</v>
      </c>
      <c r="L226" s="4">
        <v>4</v>
      </c>
      <c r="M226" s="5">
        <v>130000</v>
      </c>
      <c r="N226" s="4">
        <v>0</v>
      </c>
      <c r="O226" s="5">
        <v>520000</v>
      </c>
      <c r="P226" s="6" t="s">
        <v>94</v>
      </c>
      <c r="Q226" s="10" t="s">
        <v>25</v>
      </c>
      <c r="R226" s="6" t="s">
        <v>61</v>
      </c>
    </row>
    <row r="227" spans="1:18" x14ac:dyDescent="0.3">
      <c r="A227" s="6" t="s">
        <v>456</v>
      </c>
      <c r="B227" s="7">
        <v>45934</v>
      </c>
      <c r="C227" s="7" t="str">
        <f t="shared" si="6"/>
        <v>October</v>
      </c>
      <c r="D227" s="7" t="str">
        <f t="shared" si="7"/>
        <v>Q4</v>
      </c>
      <c r="E227" s="6" t="s">
        <v>135</v>
      </c>
      <c r="F227" s="6" t="s">
        <v>50</v>
      </c>
      <c r="G227" s="6" t="s">
        <v>107</v>
      </c>
      <c r="H227" s="6" t="s">
        <v>108</v>
      </c>
      <c r="I227" t="s">
        <v>21</v>
      </c>
      <c r="J227" s="6" t="s">
        <v>22</v>
      </c>
      <c r="K227" s="6" t="s">
        <v>23</v>
      </c>
      <c r="L227" s="4">
        <v>1</v>
      </c>
      <c r="M227" s="5">
        <v>21000</v>
      </c>
      <c r="N227" s="4">
        <v>0.1</v>
      </c>
      <c r="O227" s="5">
        <v>18900</v>
      </c>
      <c r="P227" s="6" t="s">
        <v>171</v>
      </c>
      <c r="Q227" s="10" t="s">
        <v>145</v>
      </c>
      <c r="R227" s="6" t="s">
        <v>183</v>
      </c>
    </row>
    <row r="228" spans="1:18" x14ac:dyDescent="0.3">
      <c r="A228" s="6" t="s">
        <v>458</v>
      </c>
      <c r="B228" s="7">
        <v>45872</v>
      </c>
      <c r="C228" s="7" t="str">
        <f t="shared" si="6"/>
        <v>August</v>
      </c>
      <c r="D228" s="7" t="str">
        <f t="shared" si="7"/>
        <v>Q3</v>
      </c>
      <c r="E228" s="6" t="s">
        <v>130</v>
      </c>
      <c r="F228" s="6" t="s">
        <v>131</v>
      </c>
      <c r="G228" s="6" t="s">
        <v>19</v>
      </c>
      <c r="H228" s="6" t="s">
        <v>20</v>
      </c>
      <c r="I228" t="s">
        <v>204</v>
      </c>
      <c r="J228" s="6" t="s">
        <v>101</v>
      </c>
      <c r="K228" s="6" t="s">
        <v>156</v>
      </c>
      <c r="L228" s="4">
        <v>10</v>
      </c>
      <c r="M228" s="5">
        <v>142000</v>
      </c>
      <c r="N228" s="4">
        <v>0.05</v>
      </c>
      <c r="O228" s="5">
        <v>1349000</v>
      </c>
      <c r="P228" s="6" t="s">
        <v>171</v>
      </c>
      <c r="Q228" s="10" t="s">
        <v>145</v>
      </c>
      <c r="R228" s="6" t="s">
        <v>61</v>
      </c>
    </row>
    <row r="229" spans="1:18" x14ac:dyDescent="0.3">
      <c r="A229" s="6" t="s">
        <v>460</v>
      </c>
      <c r="B229" s="7">
        <v>45810</v>
      </c>
      <c r="C229" s="7" t="str">
        <f t="shared" si="6"/>
        <v>June</v>
      </c>
      <c r="D229" s="7" t="str">
        <f t="shared" si="7"/>
        <v>Q2</v>
      </c>
      <c r="E229" s="6" t="s">
        <v>28</v>
      </c>
      <c r="F229" s="6" t="s">
        <v>29</v>
      </c>
      <c r="G229" s="6" t="s">
        <v>30</v>
      </c>
      <c r="H229" s="6" t="s">
        <v>20</v>
      </c>
      <c r="I229" t="s">
        <v>64</v>
      </c>
      <c r="J229" s="6" t="s">
        <v>32</v>
      </c>
      <c r="K229" s="6" t="s">
        <v>65</v>
      </c>
      <c r="L229" s="4">
        <v>12</v>
      </c>
      <c r="M229" s="5">
        <v>566000</v>
      </c>
      <c r="N229" s="4">
        <v>0</v>
      </c>
      <c r="O229" s="5">
        <v>6792000</v>
      </c>
      <c r="P229" s="6" t="s">
        <v>53</v>
      </c>
      <c r="Q229" s="10" t="s">
        <v>25</v>
      </c>
      <c r="R229" s="6" t="s">
        <v>61</v>
      </c>
    </row>
    <row r="230" spans="1:18" x14ac:dyDescent="0.3">
      <c r="A230" s="6" t="s">
        <v>462</v>
      </c>
      <c r="B230" s="7">
        <v>45969</v>
      </c>
      <c r="C230" s="7" t="str">
        <f t="shared" si="6"/>
        <v>November</v>
      </c>
      <c r="D230" s="7" t="str">
        <f t="shared" si="7"/>
        <v>Q4</v>
      </c>
      <c r="E230" s="6" t="s">
        <v>63</v>
      </c>
      <c r="F230" s="6" t="s">
        <v>18</v>
      </c>
      <c r="G230" s="6" t="s">
        <v>42</v>
      </c>
      <c r="H230" s="6" t="s">
        <v>42</v>
      </c>
      <c r="I230" t="s">
        <v>125</v>
      </c>
      <c r="J230" s="6" t="s">
        <v>32</v>
      </c>
      <c r="K230" s="6" t="s">
        <v>52</v>
      </c>
      <c r="L230" s="4">
        <v>1</v>
      </c>
      <c r="M230" s="5">
        <v>329000</v>
      </c>
      <c r="N230" s="4">
        <v>0.05</v>
      </c>
      <c r="O230" s="5">
        <v>312550</v>
      </c>
      <c r="P230" s="6" t="s">
        <v>171</v>
      </c>
      <c r="Q230" s="10" t="s">
        <v>60</v>
      </c>
      <c r="R230" s="6" t="s">
        <v>61</v>
      </c>
    </row>
    <row r="231" spans="1:18" x14ac:dyDescent="0.3">
      <c r="A231" s="6" t="s">
        <v>464</v>
      </c>
      <c r="B231" s="7">
        <v>45721</v>
      </c>
      <c r="C231" s="7" t="str">
        <f t="shared" si="6"/>
        <v>March</v>
      </c>
      <c r="D231" s="7" t="str">
        <f t="shared" si="7"/>
        <v>Q1</v>
      </c>
      <c r="E231" s="6" t="s">
        <v>113</v>
      </c>
      <c r="F231" s="6" t="s">
        <v>29</v>
      </c>
      <c r="G231" s="6" t="s">
        <v>84</v>
      </c>
      <c r="H231" s="6" t="s">
        <v>114</v>
      </c>
      <c r="I231" t="s">
        <v>160</v>
      </c>
      <c r="J231" s="6" t="s">
        <v>22</v>
      </c>
      <c r="K231" s="6" t="s">
        <v>23</v>
      </c>
      <c r="L231" s="4">
        <v>4</v>
      </c>
      <c r="M231" s="5">
        <v>75000</v>
      </c>
      <c r="N231" s="4">
        <v>0</v>
      </c>
      <c r="O231" s="5">
        <v>300000</v>
      </c>
      <c r="P231" s="6" t="s">
        <v>79</v>
      </c>
      <c r="Q231" s="10" t="s">
        <v>175</v>
      </c>
      <c r="R231" s="6" t="s">
        <v>183</v>
      </c>
    </row>
    <row r="232" spans="1:18" x14ac:dyDescent="0.3">
      <c r="A232" s="6" t="s">
        <v>465</v>
      </c>
      <c r="B232" s="7">
        <v>45686</v>
      </c>
      <c r="C232" s="7" t="str">
        <f t="shared" si="6"/>
        <v>January</v>
      </c>
      <c r="D232" s="7" t="str">
        <f t="shared" si="7"/>
        <v>Q1</v>
      </c>
      <c r="E232" s="6" t="s">
        <v>147</v>
      </c>
      <c r="F232" s="6" t="s">
        <v>18</v>
      </c>
      <c r="G232" s="6" t="s">
        <v>148</v>
      </c>
      <c r="H232" s="6" t="s">
        <v>149</v>
      </c>
      <c r="I232" t="s">
        <v>204</v>
      </c>
      <c r="J232" s="6" t="s">
        <v>101</v>
      </c>
      <c r="K232" s="6" t="s">
        <v>156</v>
      </c>
      <c r="L232" s="4">
        <v>2</v>
      </c>
      <c r="M232" s="5">
        <v>145000</v>
      </c>
      <c r="N232" s="4">
        <v>0</v>
      </c>
      <c r="O232" s="5">
        <v>290000</v>
      </c>
      <c r="P232" s="6" t="s">
        <v>94</v>
      </c>
      <c r="Q232" s="10" t="s">
        <v>60</v>
      </c>
      <c r="R232" s="6" t="s">
        <v>87</v>
      </c>
    </row>
    <row r="233" spans="1:18" x14ac:dyDescent="0.3">
      <c r="A233" s="6" t="s">
        <v>466</v>
      </c>
      <c r="B233" s="7">
        <v>45819</v>
      </c>
      <c r="C233" s="7" t="str">
        <f t="shared" si="6"/>
        <v>June</v>
      </c>
      <c r="D233" s="7" t="str">
        <f t="shared" si="7"/>
        <v>Q2</v>
      </c>
      <c r="E233" s="6" t="s">
        <v>39</v>
      </c>
      <c r="F233" s="6" t="s">
        <v>40</v>
      </c>
      <c r="G233" s="6" t="s">
        <v>42</v>
      </c>
      <c r="H233" s="6" t="s">
        <v>42</v>
      </c>
      <c r="I233" t="s">
        <v>74</v>
      </c>
      <c r="J233" s="6" t="s">
        <v>32</v>
      </c>
      <c r="K233" s="6" t="s">
        <v>33</v>
      </c>
      <c r="L233" s="4">
        <v>15</v>
      </c>
      <c r="M233" s="5">
        <v>83000</v>
      </c>
      <c r="N233" s="4">
        <v>0</v>
      </c>
      <c r="O233" s="5">
        <v>1245000</v>
      </c>
      <c r="P233" s="6" t="s">
        <v>35</v>
      </c>
      <c r="Q233" s="10" t="s">
        <v>75</v>
      </c>
      <c r="R233" s="6" t="s">
        <v>61</v>
      </c>
    </row>
    <row r="234" spans="1:18" x14ac:dyDescent="0.3">
      <c r="A234" s="6" t="s">
        <v>467</v>
      </c>
      <c r="B234" s="7">
        <v>45809</v>
      </c>
      <c r="C234" s="7" t="str">
        <f t="shared" si="6"/>
        <v>June</v>
      </c>
      <c r="D234" s="7" t="str">
        <f t="shared" si="7"/>
        <v>Q2</v>
      </c>
      <c r="E234" s="6" t="s">
        <v>106</v>
      </c>
      <c r="F234" s="6" t="s">
        <v>50</v>
      </c>
      <c r="G234" s="6" t="s">
        <v>107</v>
      </c>
      <c r="H234" s="6" t="s">
        <v>108</v>
      </c>
      <c r="I234" t="s">
        <v>125</v>
      </c>
      <c r="J234" s="6" t="s">
        <v>32</v>
      </c>
      <c r="K234" s="6" t="s">
        <v>52</v>
      </c>
      <c r="L234" s="4">
        <v>7</v>
      </c>
      <c r="M234" s="5">
        <v>330000</v>
      </c>
      <c r="N234" s="4">
        <v>0.05</v>
      </c>
      <c r="O234" s="5">
        <v>2194500</v>
      </c>
      <c r="P234" s="6" t="s">
        <v>35</v>
      </c>
      <c r="Q234" s="10" t="s">
        <v>25</v>
      </c>
      <c r="R234" s="6" t="s">
        <v>87</v>
      </c>
    </row>
    <row r="235" spans="1:18" x14ac:dyDescent="0.3">
      <c r="A235" s="6" t="s">
        <v>468</v>
      </c>
      <c r="B235" s="7">
        <v>45751</v>
      </c>
      <c r="C235" s="7" t="str">
        <f t="shared" si="6"/>
        <v>April</v>
      </c>
      <c r="D235" s="7" t="str">
        <f t="shared" si="7"/>
        <v>Q2</v>
      </c>
      <c r="E235" s="6" t="s">
        <v>135</v>
      </c>
      <c r="F235" s="6" t="s">
        <v>50</v>
      </c>
      <c r="G235" s="6" t="s">
        <v>107</v>
      </c>
      <c r="H235" s="6" t="s">
        <v>108</v>
      </c>
      <c r="I235" t="s">
        <v>295</v>
      </c>
      <c r="J235" s="6" t="s">
        <v>32</v>
      </c>
      <c r="K235" s="6" t="s">
        <v>58</v>
      </c>
      <c r="L235" s="4">
        <v>12</v>
      </c>
      <c r="M235" s="5">
        <v>382000</v>
      </c>
      <c r="N235" s="4">
        <v>0.1</v>
      </c>
      <c r="O235" s="5">
        <v>4125600</v>
      </c>
      <c r="P235" s="6" t="s">
        <v>53</v>
      </c>
      <c r="Q235" s="10" t="s">
        <v>75</v>
      </c>
      <c r="R235" s="6" t="s">
        <v>61</v>
      </c>
    </row>
    <row r="236" spans="1:18" x14ac:dyDescent="0.3">
      <c r="A236" s="6" t="s">
        <v>469</v>
      </c>
      <c r="B236" s="7">
        <v>45890</v>
      </c>
      <c r="C236" s="7" t="str">
        <f t="shared" si="6"/>
        <v>August</v>
      </c>
      <c r="D236" s="7" t="str">
        <f t="shared" si="7"/>
        <v>Q3</v>
      </c>
      <c r="E236" s="6" t="s">
        <v>67</v>
      </c>
      <c r="F236" s="6" t="s">
        <v>68</v>
      </c>
      <c r="G236" s="6" t="s">
        <v>69</v>
      </c>
      <c r="H236" s="6" t="s">
        <v>70</v>
      </c>
      <c r="I236" t="s">
        <v>137</v>
      </c>
      <c r="J236" s="6" t="s">
        <v>138</v>
      </c>
      <c r="K236" s="6" t="s">
        <v>138</v>
      </c>
      <c r="L236" s="4">
        <v>14</v>
      </c>
      <c r="M236" s="5">
        <v>27000</v>
      </c>
      <c r="N236" s="4">
        <v>0.1</v>
      </c>
      <c r="O236" s="5">
        <v>340200</v>
      </c>
      <c r="P236" s="6" t="s">
        <v>53</v>
      </c>
      <c r="Q236" s="10" t="s">
        <v>75</v>
      </c>
      <c r="R236" s="6" t="s">
        <v>87</v>
      </c>
    </row>
    <row r="237" spans="1:18" x14ac:dyDescent="0.3">
      <c r="A237" s="6" t="s">
        <v>470</v>
      </c>
      <c r="B237" s="7">
        <v>45776</v>
      </c>
      <c r="C237" s="7" t="str">
        <f t="shared" si="6"/>
        <v>April</v>
      </c>
      <c r="D237" s="7" t="str">
        <f t="shared" si="7"/>
        <v>Q2</v>
      </c>
      <c r="E237" s="6" t="s">
        <v>82</v>
      </c>
      <c r="F237" s="6" t="s">
        <v>83</v>
      </c>
      <c r="G237" s="6" t="s">
        <v>84</v>
      </c>
      <c r="H237" s="6" t="s">
        <v>114</v>
      </c>
      <c r="I237" t="s">
        <v>208</v>
      </c>
      <c r="J237" s="6" t="s">
        <v>209</v>
      </c>
      <c r="K237" s="6" t="s">
        <v>65</v>
      </c>
      <c r="L237" s="4">
        <v>2</v>
      </c>
      <c r="M237" s="5">
        <v>92000</v>
      </c>
      <c r="N237" s="4">
        <v>0</v>
      </c>
      <c r="O237" s="5">
        <v>184000</v>
      </c>
      <c r="P237" s="6" t="s">
        <v>35</v>
      </c>
      <c r="Q237" s="10" t="s">
        <v>175</v>
      </c>
      <c r="R237" s="6" t="s">
        <v>87</v>
      </c>
    </row>
    <row r="238" spans="1:18" x14ac:dyDescent="0.3">
      <c r="A238" s="6" t="s">
        <v>471</v>
      </c>
      <c r="B238" s="7">
        <v>45947</v>
      </c>
      <c r="C238" s="7" t="str">
        <f t="shared" si="6"/>
        <v>October</v>
      </c>
      <c r="D238" s="7" t="str">
        <f t="shared" si="7"/>
        <v>Q4</v>
      </c>
      <c r="E238" s="6" t="s">
        <v>190</v>
      </c>
      <c r="F238" s="6" t="s">
        <v>191</v>
      </c>
      <c r="G238" s="6" t="s">
        <v>42</v>
      </c>
      <c r="H238" s="6" t="s">
        <v>42</v>
      </c>
      <c r="I238" t="s">
        <v>178</v>
      </c>
      <c r="J238" s="6" t="s">
        <v>101</v>
      </c>
      <c r="K238" s="6" t="s">
        <v>179</v>
      </c>
      <c r="L238" s="4">
        <v>1</v>
      </c>
      <c r="M238" s="5">
        <v>101000</v>
      </c>
      <c r="N238" s="4">
        <v>0</v>
      </c>
      <c r="O238" s="5">
        <v>90900</v>
      </c>
      <c r="P238" s="6" t="s">
        <v>53</v>
      </c>
      <c r="Q238" s="10" t="s">
        <v>75</v>
      </c>
      <c r="R238" s="6" t="s">
        <v>183</v>
      </c>
    </row>
    <row r="239" spans="1:18" x14ac:dyDescent="0.3">
      <c r="A239" s="6" t="s">
        <v>472</v>
      </c>
      <c r="B239" s="7">
        <v>45747</v>
      </c>
      <c r="C239" s="7" t="str">
        <f t="shared" si="6"/>
        <v>March</v>
      </c>
      <c r="D239" s="7" t="str">
        <f t="shared" si="7"/>
        <v>Q1</v>
      </c>
      <c r="E239" s="6" t="s">
        <v>190</v>
      </c>
      <c r="F239" s="6" t="s">
        <v>191</v>
      </c>
      <c r="G239" s="6" t="s">
        <v>42</v>
      </c>
      <c r="H239" s="6" t="s">
        <v>42</v>
      </c>
      <c r="I239" t="s">
        <v>235</v>
      </c>
      <c r="J239" s="6" t="s">
        <v>101</v>
      </c>
      <c r="K239" s="6" t="s">
        <v>156</v>
      </c>
      <c r="L239" s="4">
        <v>14</v>
      </c>
      <c r="M239" s="5">
        <v>170000</v>
      </c>
      <c r="N239" s="4">
        <v>0.02</v>
      </c>
      <c r="O239" s="5">
        <v>2332400</v>
      </c>
      <c r="P239" s="6" t="s">
        <v>94</v>
      </c>
      <c r="Q239" s="10" t="s">
        <v>60</v>
      </c>
      <c r="R239" s="6" t="s">
        <v>61</v>
      </c>
    </row>
    <row r="240" spans="1:18" x14ac:dyDescent="0.3">
      <c r="A240" s="6" t="s">
        <v>598</v>
      </c>
      <c r="B240" s="7">
        <v>45933</v>
      </c>
      <c r="C240" s="7" t="str">
        <f t="shared" si="6"/>
        <v>October</v>
      </c>
      <c r="D240" s="7" t="str">
        <f t="shared" si="7"/>
        <v>Q4</v>
      </c>
      <c r="E240" s="6" t="s">
        <v>56</v>
      </c>
      <c r="F240" s="6" t="s">
        <v>18</v>
      </c>
      <c r="G240" s="6" t="s">
        <v>42</v>
      </c>
      <c r="H240" s="6" t="s">
        <v>42</v>
      </c>
      <c r="I240" t="s">
        <v>620</v>
      </c>
      <c r="J240" s="6" t="s">
        <v>101</v>
      </c>
      <c r="K240" s="6" t="s">
        <v>102</v>
      </c>
      <c r="L240" s="4">
        <v>15</v>
      </c>
      <c r="M240" s="5">
        <v>137000</v>
      </c>
      <c r="N240" s="4">
        <v>0</v>
      </c>
      <c r="O240" s="5">
        <v>2055000</v>
      </c>
      <c r="P240" s="6" t="s">
        <v>35</v>
      </c>
      <c r="Q240" s="10" t="s">
        <v>175</v>
      </c>
      <c r="R240" s="6" t="s">
        <v>61</v>
      </c>
    </row>
    <row r="241" spans="1:18" x14ac:dyDescent="0.3">
      <c r="A241" s="6" t="s">
        <v>474</v>
      </c>
      <c r="B241" s="7">
        <v>46001</v>
      </c>
      <c r="C241" s="7" t="str">
        <f t="shared" si="6"/>
        <v>December</v>
      </c>
      <c r="D241" s="7" t="str">
        <f t="shared" si="7"/>
        <v>Q4</v>
      </c>
      <c r="E241" s="6" t="s">
        <v>106</v>
      </c>
      <c r="F241" s="6" t="s">
        <v>50</v>
      </c>
      <c r="G241" s="6" t="s">
        <v>107</v>
      </c>
      <c r="H241" s="6" t="s">
        <v>108</v>
      </c>
      <c r="I241" t="s">
        <v>178</v>
      </c>
      <c r="J241" s="6" t="s">
        <v>101</v>
      </c>
      <c r="K241" s="6" t="s">
        <v>179</v>
      </c>
      <c r="L241" s="4">
        <v>10</v>
      </c>
      <c r="M241" s="5">
        <v>86000</v>
      </c>
      <c r="N241" s="4">
        <v>0.02</v>
      </c>
      <c r="O241" s="5">
        <v>842800</v>
      </c>
      <c r="P241" s="6" t="s">
        <v>94</v>
      </c>
      <c r="Q241" s="10" t="s">
        <v>25</v>
      </c>
      <c r="R241" s="6" t="s">
        <v>87</v>
      </c>
    </row>
    <row r="242" spans="1:18" x14ac:dyDescent="0.3">
      <c r="A242" s="6" t="s">
        <v>475</v>
      </c>
      <c r="B242" s="7">
        <v>45819</v>
      </c>
      <c r="C242" s="7" t="str">
        <f t="shared" si="6"/>
        <v>June</v>
      </c>
      <c r="D242" s="7" t="str">
        <f t="shared" si="7"/>
        <v>Q2</v>
      </c>
      <c r="E242" s="6" t="s">
        <v>130</v>
      </c>
      <c r="F242" s="6" t="s">
        <v>131</v>
      </c>
      <c r="G242" s="6" t="s">
        <v>19</v>
      </c>
      <c r="H242" s="6" t="s">
        <v>20</v>
      </c>
      <c r="I242" t="s">
        <v>295</v>
      </c>
      <c r="J242" s="6" t="s">
        <v>32</v>
      </c>
      <c r="K242" s="6" t="s">
        <v>58</v>
      </c>
      <c r="L242" s="4">
        <v>15</v>
      </c>
      <c r="M242" s="5">
        <v>405000</v>
      </c>
      <c r="N242" s="4">
        <v>0.02</v>
      </c>
      <c r="O242" s="5">
        <v>0</v>
      </c>
      <c r="P242" s="6" t="s">
        <v>616</v>
      </c>
      <c r="Q242" s="10" t="s">
        <v>95</v>
      </c>
      <c r="R242" s="6" t="s">
        <v>26</v>
      </c>
    </row>
    <row r="243" spans="1:18" x14ac:dyDescent="0.3">
      <c r="A243" s="6" t="s">
        <v>476</v>
      </c>
      <c r="B243" s="7">
        <v>45821</v>
      </c>
      <c r="C243" s="7" t="str">
        <f t="shared" si="6"/>
        <v>June</v>
      </c>
      <c r="D243" s="7" t="str">
        <f t="shared" si="7"/>
        <v>Q2</v>
      </c>
      <c r="E243" s="6" t="s">
        <v>82</v>
      </c>
      <c r="F243" s="6" t="s">
        <v>83</v>
      </c>
      <c r="G243" s="6" t="s">
        <v>84</v>
      </c>
      <c r="H243" s="6" t="s">
        <v>114</v>
      </c>
      <c r="I243" t="s">
        <v>295</v>
      </c>
      <c r="J243" s="6" t="s">
        <v>32</v>
      </c>
      <c r="K243" s="6" t="s">
        <v>58</v>
      </c>
      <c r="L243" s="4">
        <v>8</v>
      </c>
      <c r="M243" s="5">
        <v>420000</v>
      </c>
      <c r="N243" s="4">
        <v>0.1</v>
      </c>
      <c r="O243" s="5">
        <v>0</v>
      </c>
      <c r="P243" s="6" t="s">
        <v>86</v>
      </c>
      <c r="Q243" s="10" t="s">
        <v>60</v>
      </c>
      <c r="R243" s="6" t="s">
        <v>26</v>
      </c>
    </row>
    <row r="244" spans="1:18" x14ac:dyDescent="0.3">
      <c r="A244" s="6" t="s">
        <v>581</v>
      </c>
      <c r="B244" s="7">
        <v>45771</v>
      </c>
      <c r="C244" s="7" t="str">
        <f t="shared" si="6"/>
        <v>April</v>
      </c>
      <c r="D244" s="7" t="str">
        <f t="shared" si="7"/>
        <v>Q2</v>
      </c>
      <c r="E244" s="6" t="s">
        <v>28</v>
      </c>
      <c r="F244" s="6" t="s">
        <v>29</v>
      </c>
      <c r="G244" s="6" t="s">
        <v>30</v>
      </c>
      <c r="H244" s="6" t="s">
        <v>20</v>
      </c>
      <c r="I244" t="s">
        <v>620</v>
      </c>
      <c r="J244" s="6" t="s">
        <v>101</v>
      </c>
      <c r="K244" s="6" t="s">
        <v>102</v>
      </c>
      <c r="L244" s="4">
        <v>10</v>
      </c>
      <c r="M244" s="5">
        <v>129000</v>
      </c>
      <c r="N244" s="4">
        <v>0</v>
      </c>
      <c r="O244" s="5">
        <v>0</v>
      </c>
      <c r="P244" s="6" t="s">
        <v>35</v>
      </c>
      <c r="Q244" s="10" t="s">
        <v>621</v>
      </c>
      <c r="R244" s="6" t="s">
        <v>26</v>
      </c>
    </row>
    <row r="245" spans="1:18" x14ac:dyDescent="0.3">
      <c r="A245" s="6" t="s">
        <v>479</v>
      </c>
      <c r="B245" s="7">
        <v>45919</v>
      </c>
      <c r="C245" s="7" t="str">
        <f t="shared" si="6"/>
        <v>September</v>
      </c>
      <c r="D245" s="7" t="str">
        <f t="shared" si="7"/>
        <v>Q3</v>
      </c>
      <c r="E245" s="6" t="s">
        <v>113</v>
      </c>
      <c r="F245" s="6" t="s">
        <v>29</v>
      </c>
      <c r="G245" s="6" t="s">
        <v>84</v>
      </c>
      <c r="H245" s="6" t="s">
        <v>114</v>
      </c>
      <c r="I245" t="s">
        <v>620</v>
      </c>
      <c r="J245" s="6" t="s">
        <v>101</v>
      </c>
      <c r="K245" s="6" t="s">
        <v>102</v>
      </c>
      <c r="L245" s="4">
        <v>1</v>
      </c>
      <c r="M245" s="5">
        <v>106000</v>
      </c>
      <c r="N245" s="4">
        <v>0.02</v>
      </c>
      <c r="O245" s="5">
        <v>0</v>
      </c>
      <c r="P245" s="6" t="s">
        <v>35</v>
      </c>
      <c r="Q245" s="10" t="s">
        <v>95</v>
      </c>
      <c r="R245" s="6" t="s">
        <v>26</v>
      </c>
    </row>
    <row r="246" spans="1:18" x14ac:dyDescent="0.3">
      <c r="A246" s="6" t="s">
        <v>481</v>
      </c>
      <c r="B246" s="7">
        <v>45976</v>
      </c>
      <c r="C246" s="7" t="str">
        <f t="shared" si="6"/>
        <v>November</v>
      </c>
      <c r="D246" s="7" t="str">
        <f t="shared" si="7"/>
        <v>Q4</v>
      </c>
      <c r="E246" s="6" t="s">
        <v>49</v>
      </c>
      <c r="F246" s="6" t="s">
        <v>50</v>
      </c>
      <c r="G246" s="6" t="s">
        <v>19</v>
      </c>
      <c r="H246" s="6" t="s">
        <v>20</v>
      </c>
      <c r="I246" t="s">
        <v>204</v>
      </c>
      <c r="J246" s="6" t="s">
        <v>101</v>
      </c>
      <c r="K246" s="6" t="s">
        <v>156</v>
      </c>
      <c r="L246" s="4">
        <v>15</v>
      </c>
      <c r="M246" s="5">
        <v>145000</v>
      </c>
      <c r="N246" s="4">
        <v>0.1</v>
      </c>
      <c r="O246" s="5">
        <v>1957500</v>
      </c>
      <c r="P246" s="6" t="s">
        <v>53</v>
      </c>
      <c r="Q246" s="10" t="s">
        <v>25</v>
      </c>
      <c r="R246" s="6" t="s">
        <v>61</v>
      </c>
    </row>
    <row r="247" spans="1:18" x14ac:dyDescent="0.3">
      <c r="A247" s="6" t="s">
        <v>483</v>
      </c>
      <c r="B247" s="7">
        <v>45690</v>
      </c>
      <c r="C247" s="7" t="str">
        <f t="shared" si="6"/>
        <v>February</v>
      </c>
      <c r="D247" s="7" t="str">
        <f t="shared" si="7"/>
        <v>Q1</v>
      </c>
      <c r="E247" s="6" t="s">
        <v>117</v>
      </c>
      <c r="F247" s="6" t="s">
        <v>68</v>
      </c>
      <c r="G247" s="6" t="s">
        <v>123</v>
      </c>
      <c r="H247" s="6" t="s">
        <v>225</v>
      </c>
      <c r="I247" t="s">
        <v>137</v>
      </c>
      <c r="J247" s="6" t="s">
        <v>138</v>
      </c>
      <c r="K247" s="6" t="s">
        <v>138</v>
      </c>
      <c r="L247" s="4">
        <v>10</v>
      </c>
      <c r="M247" s="5">
        <v>26000</v>
      </c>
      <c r="N247" s="4">
        <v>0.1</v>
      </c>
      <c r="O247" s="5">
        <v>234000</v>
      </c>
      <c r="P247" s="6" t="s">
        <v>617</v>
      </c>
      <c r="Q247" s="10" t="s">
        <v>60</v>
      </c>
      <c r="R247" s="6" t="s">
        <v>61</v>
      </c>
    </row>
    <row r="248" spans="1:18" x14ac:dyDescent="0.3">
      <c r="A248" s="6" t="s">
        <v>484</v>
      </c>
      <c r="B248" s="7">
        <v>45900</v>
      </c>
      <c r="C248" s="7" t="str">
        <f t="shared" si="6"/>
        <v>August</v>
      </c>
      <c r="D248" s="7" t="str">
        <f t="shared" si="7"/>
        <v>Q3</v>
      </c>
      <c r="E248" s="6" t="s">
        <v>17</v>
      </c>
      <c r="F248" s="6" t="s">
        <v>18</v>
      </c>
      <c r="G248" s="6" t="s">
        <v>19</v>
      </c>
      <c r="H248" s="6" t="s">
        <v>20</v>
      </c>
      <c r="I248" t="s">
        <v>64</v>
      </c>
      <c r="J248" s="6" t="s">
        <v>32</v>
      </c>
      <c r="K248" s="6" t="s">
        <v>65</v>
      </c>
      <c r="L248" s="4">
        <v>6</v>
      </c>
      <c r="M248" s="5">
        <v>495000</v>
      </c>
      <c r="N248" s="4">
        <v>0.02</v>
      </c>
      <c r="O248" s="5">
        <v>2910600</v>
      </c>
      <c r="P248" s="6" t="s">
        <v>86</v>
      </c>
      <c r="Q248" s="10" t="s">
        <v>145</v>
      </c>
      <c r="R248" s="6" t="s">
        <v>183</v>
      </c>
    </row>
    <row r="249" spans="1:18" x14ac:dyDescent="0.3">
      <c r="A249" s="6" t="s">
        <v>486</v>
      </c>
      <c r="B249" s="7">
        <v>45829</v>
      </c>
      <c r="C249" s="7" t="str">
        <f t="shared" si="6"/>
        <v>June</v>
      </c>
      <c r="D249" s="7" t="str">
        <f t="shared" si="7"/>
        <v>Q2</v>
      </c>
      <c r="E249" s="6" t="s">
        <v>113</v>
      </c>
      <c r="F249" s="6" t="s">
        <v>29</v>
      </c>
      <c r="G249" s="6" t="s">
        <v>84</v>
      </c>
      <c r="H249" s="6" t="s">
        <v>114</v>
      </c>
      <c r="I249" t="s">
        <v>235</v>
      </c>
      <c r="J249" s="6" t="s">
        <v>101</v>
      </c>
      <c r="K249" s="6" t="s">
        <v>156</v>
      </c>
      <c r="L249" s="4">
        <v>7</v>
      </c>
      <c r="M249" s="5">
        <v>198000</v>
      </c>
      <c r="N249" s="4">
        <v>0</v>
      </c>
      <c r="O249" s="5">
        <v>1386000</v>
      </c>
      <c r="P249" s="6" t="s">
        <v>94</v>
      </c>
      <c r="Q249" s="10" t="s">
        <v>95</v>
      </c>
      <c r="R249" s="6" t="s">
        <v>61</v>
      </c>
    </row>
    <row r="250" spans="1:18" x14ac:dyDescent="0.3">
      <c r="A250" s="6" t="s">
        <v>487</v>
      </c>
      <c r="B250" s="7">
        <v>45939</v>
      </c>
      <c r="C250" s="7" t="str">
        <f t="shared" si="6"/>
        <v>October</v>
      </c>
      <c r="D250" s="7" t="str">
        <f t="shared" si="7"/>
        <v>Q4</v>
      </c>
      <c r="E250" s="6" t="s">
        <v>17</v>
      </c>
      <c r="F250" s="6" t="s">
        <v>18</v>
      </c>
      <c r="G250" s="6" t="s">
        <v>19</v>
      </c>
      <c r="H250" s="6" t="s">
        <v>20</v>
      </c>
      <c r="I250" t="s">
        <v>109</v>
      </c>
      <c r="J250" s="6" t="s">
        <v>32</v>
      </c>
      <c r="K250" s="6" t="s">
        <v>44</v>
      </c>
      <c r="L250" s="4">
        <v>10</v>
      </c>
      <c r="M250" s="5">
        <v>148000</v>
      </c>
      <c r="N250" s="4">
        <v>0.1</v>
      </c>
      <c r="O250" s="5">
        <v>1332000</v>
      </c>
      <c r="P250" s="6" t="s">
        <v>94</v>
      </c>
      <c r="Q250" s="10" t="s">
        <v>46</v>
      </c>
      <c r="R250" s="6" t="s">
        <v>61</v>
      </c>
    </row>
    <row r="251" spans="1:18" x14ac:dyDescent="0.3">
      <c r="A251" s="6" t="s">
        <v>488</v>
      </c>
      <c r="B251" s="7">
        <v>45801</v>
      </c>
      <c r="C251" s="7" t="str">
        <f t="shared" si="6"/>
        <v>May</v>
      </c>
      <c r="D251" s="7" t="str">
        <f t="shared" si="7"/>
        <v>Q2</v>
      </c>
      <c r="E251" s="6" t="s">
        <v>621</v>
      </c>
      <c r="F251" s="6" t="s">
        <v>18</v>
      </c>
      <c r="G251" s="6" t="s">
        <v>42</v>
      </c>
      <c r="H251" s="6" t="s">
        <v>42</v>
      </c>
      <c r="I251" t="s">
        <v>144</v>
      </c>
      <c r="J251" s="6" t="s">
        <v>32</v>
      </c>
      <c r="K251" s="6" t="s">
        <v>44</v>
      </c>
      <c r="L251" s="4">
        <v>0</v>
      </c>
      <c r="M251" s="5">
        <v>264000</v>
      </c>
      <c r="N251" s="4">
        <v>0.1</v>
      </c>
      <c r="O251" s="5">
        <v>3564000</v>
      </c>
      <c r="P251" s="6" t="s">
        <v>86</v>
      </c>
      <c r="Q251" s="10" t="s">
        <v>175</v>
      </c>
      <c r="R251" s="6" t="s">
        <v>61</v>
      </c>
    </row>
    <row r="252" spans="1:18" x14ac:dyDescent="0.3">
      <c r="A252" s="6" t="s">
        <v>491</v>
      </c>
      <c r="B252" s="7">
        <v>45701</v>
      </c>
      <c r="C252" s="7" t="str">
        <f t="shared" si="6"/>
        <v>February</v>
      </c>
      <c r="D252" s="7" t="str">
        <f t="shared" si="7"/>
        <v>Q1</v>
      </c>
      <c r="E252" s="6" t="s">
        <v>190</v>
      </c>
      <c r="F252" s="6" t="s">
        <v>191</v>
      </c>
      <c r="G252" s="6" t="s">
        <v>42</v>
      </c>
      <c r="H252" s="6" t="s">
        <v>42</v>
      </c>
      <c r="I252" t="s">
        <v>57</v>
      </c>
      <c r="J252" s="6" t="s">
        <v>32</v>
      </c>
      <c r="K252" s="6" t="s">
        <v>58</v>
      </c>
      <c r="L252" s="4">
        <v>15</v>
      </c>
      <c r="M252" s="5">
        <v>747000</v>
      </c>
      <c r="N252" s="4">
        <v>0.05</v>
      </c>
      <c r="O252" s="5">
        <v>10644750</v>
      </c>
      <c r="P252" s="6" t="s">
        <v>53</v>
      </c>
      <c r="Q252" s="10" t="s">
        <v>175</v>
      </c>
      <c r="R252" s="6" t="s">
        <v>183</v>
      </c>
    </row>
    <row r="253" spans="1:18" x14ac:dyDescent="0.3">
      <c r="A253" s="6" t="s">
        <v>492</v>
      </c>
      <c r="B253" s="7">
        <v>45798</v>
      </c>
      <c r="C253" s="7" t="str">
        <f t="shared" si="6"/>
        <v>May</v>
      </c>
      <c r="D253" s="7" t="str">
        <f t="shared" si="7"/>
        <v>Q2</v>
      </c>
      <c r="E253" s="6" t="s">
        <v>135</v>
      </c>
      <c r="F253" s="6" t="s">
        <v>50</v>
      </c>
      <c r="G253" s="6" t="s">
        <v>107</v>
      </c>
      <c r="H253" s="6" t="s">
        <v>108</v>
      </c>
      <c r="I253" t="s">
        <v>125</v>
      </c>
      <c r="J253" s="6" t="s">
        <v>32</v>
      </c>
      <c r="K253" s="6" t="s">
        <v>52</v>
      </c>
      <c r="L253" s="4">
        <v>4</v>
      </c>
      <c r="M253" s="5">
        <v>357000</v>
      </c>
      <c r="N253" s="4">
        <v>0</v>
      </c>
      <c r="O253" s="5">
        <v>1428000</v>
      </c>
      <c r="P253" s="6" t="s">
        <v>35</v>
      </c>
      <c r="Q253" s="10" t="s">
        <v>145</v>
      </c>
      <c r="R253" s="6" t="s">
        <v>183</v>
      </c>
    </row>
    <row r="254" spans="1:18" x14ac:dyDescent="0.3">
      <c r="A254" s="6" t="s">
        <v>493</v>
      </c>
      <c r="B254" s="7">
        <v>45694</v>
      </c>
      <c r="C254" s="7" t="str">
        <f t="shared" si="6"/>
        <v>February</v>
      </c>
      <c r="D254" s="7" t="str">
        <f t="shared" si="7"/>
        <v>Q1</v>
      </c>
      <c r="E254" s="6" t="s">
        <v>159</v>
      </c>
      <c r="F254" s="6" t="s">
        <v>131</v>
      </c>
      <c r="G254" s="6" t="s">
        <v>84</v>
      </c>
      <c r="H254" s="6" t="s">
        <v>114</v>
      </c>
      <c r="I254" t="s">
        <v>169</v>
      </c>
      <c r="J254" s="6" t="s">
        <v>22</v>
      </c>
      <c r="K254" s="6" t="s">
        <v>23</v>
      </c>
      <c r="L254" s="4">
        <v>12</v>
      </c>
      <c r="M254" s="5">
        <v>40000</v>
      </c>
      <c r="N254" s="4">
        <v>0</v>
      </c>
      <c r="O254" s="5">
        <v>0</v>
      </c>
      <c r="P254" s="6" t="s">
        <v>53</v>
      </c>
      <c r="Q254" s="10" t="s">
        <v>46</v>
      </c>
      <c r="R254" s="6" t="s">
        <v>26</v>
      </c>
    </row>
    <row r="255" spans="1:18" x14ac:dyDescent="0.3">
      <c r="A255" s="6" t="s">
        <v>494</v>
      </c>
      <c r="B255" s="7">
        <v>45805</v>
      </c>
      <c r="C255" s="7" t="str">
        <f t="shared" si="6"/>
        <v>May</v>
      </c>
      <c r="D255" s="7" t="str">
        <f t="shared" si="7"/>
        <v>Q2</v>
      </c>
      <c r="E255" s="6" t="s">
        <v>82</v>
      </c>
      <c r="F255" s="6" t="s">
        <v>83</v>
      </c>
      <c r="G255" s="6" t="s">
        <v>84</v>
      </c>
      <c r="H255" s="6" t="s">
        <v>114</v>
      </c>
      <c r="I255" t="s">
        <v>160</v>
      </c>
      <c r="J255" s="6" t="s">
        <v>22</v>
      </c>
      <c r="K255" s="6" t="s">
        <v>23</v>
      </c>
      <c r="L255" s="4">
        <v>5</v>
      </c>
      <c r="M255" s="5">
        <v>80000</v>
      </c>
      <c r="N255" s="4">
        <v>0.05</v>
      </c>
      <c r="O255" s="5">
        <v>0</v>
      </c>
      <c r="P255" s="6" t="s">
        <v>35</v>
      </c>
      <c r="Q255" s="10" t="s">
        <v>95</v>
      </c>
      <c r="R255" s="6" t="s">
        <v>26</v>
      </c>
    </row>
    <row r="256" spans="1:18" x14ac:dyDescent="0.3">
      <c r="A256" s="6" t="s">
        <v>495</v>
      </c>
      <c r="B256" s="7">
        <v>45682</v>
      </c>
      <c r="C256" s="7" t="str">
        <f t="shared" si="6"/>
        <v>January</v>
      </c>
      <c r="D256" s="7" t="str">
        <f t="shared" si="7"/>
        <v>Q1</v>
      </c>
      <c r="E256" s="6" t="s">
        <v>56</v>
      </c>
      <c r="F256" s="6" t="s">
        <v>18</v>
      </c>
      <c r="G256" s="6" t="s">
        <v>42</v>
      </c>
      <c r="H256" s="6" t="s">
        <v>42</v>
      </c>
      <c r="I256" t="s">
        <v>295</v>
      </c>
      <c r="J256" s="6" t="s">
        <v>32</v>
      </c>
      <c r="K256" s="6" t="s">
        <v>58</v>
      </c>
      <c r="L256" s="4">
        <v>9</v>
      </c>
      <c r="M256" s="5">
        <v>392000</v>
      </c>
      <c r="N256" s="4">
        <v>0.1</v>
      </c>
      <c r="O256" s="5">
        <v>3175200</v>
      </c>
      <c r="P256" s="6" t="s">
        <v>35</v>
      </c>
      <c r="Q256" s="10" t="s">
        <v>145</v>
      </c>
      <c r="R256" s="6" t="s">
        <v>183</v>
      </c>
    </row>
    <row r="257" spans="1:18" x14ac:dyDescent="0.3">
      <c r="A257" s="6" t="s">
        <v>496</v>
      </c>
      <c r="B257" s="7">
        <v>45707</v>
      </c>
      <c r="C257" s="7" t="str">
        <f t="shared" si="6"/>
        <v>February</v>
      </c>
      <c r="D257" s="7" t="str">
        <f t="shared" si="7"/>
        <v>Q1</v>
      </c>
      <c r="E257" s="6" t="s">
        <v>28</v>
      </c>
      <c r="F257" s="6" t="s">
        <v>29</v>
      </c>
      <c r="G257" s="6" t="s">
        <v>30</v>
      </c>
      <c r="H257" s="6" t="s">
        <v>20</v>
      </c>
      <c r="I257" t="s">
        <v>71</v>
      </c>
      <c r="J257" s="6" t="s">
        <v>32</v>
      </c>
      <c r="K257" s="6" t="s">
        <v>33</v>
      </c>
      <c r="L257" s="4">
        <v>8</v>
      </c>
      <c r="M257" s="5">
        <v>282000</v>
      </c>
      <c r="N257" s="4">
        <v>0</v>
      </c>
      <c r="O257" s="5">
        <v>2256000</v>
      </c>
      <c r="P257" s="6" t="s">
        <v>35</v>
      </c>
      <c r="Q257" s="10" t="s">
        <v>25</v>
      </c>
      <c r="R257" s="6" t="s">
        <v>183</v>
      </c>
    </row>
    <row r="258" spans="1:18" x14ac:dyDescent="0.3">
      <c r="A258" s="6" t="s">
        <v>497</v>
      </c>
      <c r="B258" s="7">
        <v>45898</v>
      </c>
      <c r="C258" s="7" t="str">
        <f t="shared" si="6"/>
        <v>August</v>
      </c>
      <c r="D258" s="7" t="str">
        <f t="shared" si="7"/>
        <v>Q3</v>
      </c>
      <c r="E258" s="6" t="s">
        <v>147</v>
      </c>
      <c r="F258" s="6" t="s">
        <v>18</v>
      </c>
      <c r="G258" s="6" t="s">
        <v>148</v>
      </c>
      <c r="H258" s="6" t="s">
        <v>149</v>
      </c>
      <c r="I258" t="s">
        <v>109</v>
      </c>
      <c r="J258" s="6" t="s">
        <v>32</v>
      </c>
      <c r="K258" s="6" t="s">
        <v>44</v>
      </c>
      <c r="L258" s="4">
        <v>3</v>
      </c>
      <c r="M258" s="5">
        <v>130000</v>
      </c>
      <c r="N258" s="4">
        <v>0.1</v>
      </c>
      <c r="O258" s="5">
        <v>0</v>
      </c>
      <c r="P258" s="6" t="s">
        <v>86</v>
      </c>
      <c r="Q258" s="10" t="s">
        <v>46</v>
      </c>
      <c r="R258" s="6" t="s">
        <v>26</v>
      </c>
    </row>
    <row r="259" spans="1:18" x14ac:dyDescent="0.3">
      <c r="A259" s="6" t="s">
        <v>498</v>
      </c>
      <c r="B259" s="7">
        <v>45988</v>
      </c>
      <c r="C259" s="7" t="str">
        <f t="shared" ref="C259:C261" si="8">TEXT(B259, "mmmm")</f>
        <v>November</v>
      </c>
      <c r="D259" s="7" t="str">
        <f t="shared" ref="D259:D261" si="9">"Q" &amp; ROUNDUP(MONTH(B259)/3,0)</f>
        <v>Q4</v>
      </c>
      <c r="E259" s="6" t="s">
        <v>621</v>
      </c>
      <c r="F259" s="6" t="s">
        <v>40</v>
      </c>
      <c r="G259" s="6" t="s">
        <v>42</v>
      </c>
      <c r="H259" s="6" t="s">
        <v>42</v>
      </c>
      <c r="I259" t="s">
        <v>71</v>
      </c>
      <c r="J259" s="6" t="s">
        <v>32</v>
      </c>
      <c r="K259" s="6" t="s">
        <v>33</v>
      </c>
      <c r="L259" s="4">
        <v>0</v>
      </c>
      <c r="M259" s="5">
        <v>6800000</v>
      </c>
      <c r="N259" s="4">
        <v>0.05</v>
      </c>
      <c r="O259" s="5">
        <v>1505750</v>
      </c>
      <c r="P259" s="6" t="s">
        <v>94</v>
      </c>
      <c r="Q259" s="10" t="s">
        <v>75</v>
      </c>
      <c r="R259" s="6" t="s">
        <v>61</v>
      </c>
    </row>
    <row r="260" spans="1:18" x14ac:dyDescent="0.3">
      <c r="A260" s="6" t="s">
        <v>500</v>
      </c>
      <c r="B260" s="7">
        <v>45841</v>
      </c>
      <c r="C260" s="7" t="str">
        <f t="shared" si="8"/>
        <v>July</v>
      </c>
      <c r="D260" s="7" t="str">
        <f t="shared" si="9"/>
        <v>Q3</v>
      </c>
      <c r="E260" s="6" t="s">
        <v>159</v>
      </c>
      <c r="F260" s="6" t="s">
        <v>131</v>
      </c>
      <c r="G260" s="6" t="s">
        <v>84</v>
      </c>
      <c r="H260" s="6" t="s">
        <v>114</v>
      </c>
      <c r="I260" t="s">
        <v>208</v>
      </c>
      <c r="J260" s="6" t="s">
        <v>209</v>
      </c>
      <c r="K260" s="6" t="s">
        <v>65</v>
      </c>
      <c r="L260" s="4">
        <v>15</v>
      </c>
      <c r="M260" s="5">
        <v>104000</v>
      </c>
      <c r="N260" s="4">
        <v>0.05</v>
      </c>
      <c r="O260" s="5">
        <v>1482000</v>
      </c>
      <c r="P260" s="6" t="s">
        <v>94</v>
      </c>
      <c r="Q260" s="10" t="s">
        <v>95</v>
      </c>
      <c r="R260" s="6" t="s">
        <v>183</v>
      </c>
    </row>
    <row r="261" spans="1:18" x14ac:dyDescent="0.3">
      <c r="A261" s="6" t="s">
        <v>502</v>
      </c>
      <c r="B261" s="7">
        <v>45961</v>
      </c>
      <c r="C261" s="7" t="str">
        <f t="shared" si="8"/>
        <v>October</v>
      </c>
      <c r="D261" s="7" t="str">
        <f t="shared" si="9"/>
        <v>Q4</v>
      </c>
      <c r="E261" s="6" t="s">
        <v>106</v>
      </c>
      <c r="F261" s="6" t="s">
        <v>50</v>
      </c>
      <c r="G261" s="6" t="s">
        <v>107</v>
      </c>
      <c r="H261" s="6" t="s">
        <v>108</v>
      </c>
      <c r="I261" t="s">
        <v>137</v>
      </c>
      <c r="J261" s="6" t="s">
        <v>138</v>
      </c>
      <c r="K261" s="6" t="s">
        <v>138</v>
      </c>
      <c r="L261" s="4">
        <v>2</v>
      </c>
      <c r="M261" s="5">
        <v>25000</v>
      </c>
      <c r="N261" s="4">
        <v>0</v>
      </c>
      <c r="O261" s="5">
        <v>50000</v>
      </c>
      <c r="P261" s="6" t="s">
        <v>35</v>
      </c>
      <c r="Q261" s="10" t="s">
        <v>145</v>
      </c>
      <c r="R261" s="6" t="s">
        <v>61</v>
      </c>
    </row>
  </sheetData>
  <autoFilter ref="R1:R261" xr:uid="{2AD5EAA5-37EB-4035-9855-B9FAE7C6FD47}"/>
  <conditionalFormatting sqref="O1:O104857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6" activePane="bottomLeft" state="frozen"/>
      <selection pane="bottomLeft" activeCell="G19" sqref="G19"/>
    </sheetView>
  </sheetViews>
  <sheetFormatPr defaultRowHeight="14.4" x14ac:dyDescent="0.3"/>
  <cols>
    <col min="1" max="1" width="20" customWidth="1"/>
    <col min="2" max="2" width="45" customWidth="1"/>
  </cols>
  <sheetData>
    <row r="1" spans="1:2" x14ac:dyDescent="0.3">
      <c r="A1" s="1" t="s">
        <v>503</v>
      </c>
      <c r="B1" s="1" t="s">
        <v>504</v>
      </c>
    </row>
    <row r="2" spans="1:2" x14ac:dyDescent="0.3">
      <c r="A2" s="3" t="s">
        <v>505</v>
      </c>
      <c r="B2" t="s">
        <v>506</v>
      </c>
    </row>
    <row r="3" spans="1:2" x14ac:dyDescent="0.3">
      <c r="A3" s="3" t="s">
        <v>505</v>
      </c>
      <c r="B3" t="s">
        <v>507</v>
      </c>
    </row>
    <row r="4" spans="1:2" x14ac:dyDescent="0.3">
      <c r="A4" s="3" t="s">
        <v>505</v>
      </c>
      <c r="B4" t="s">
        <v>508</v>
      </c>
    </row>
    <row r="5" spans="1:2" x14ac:dyDescent="0.3">
      <c r="A5" s="3" t="s">
        <v>505</v>
      </c>
      <c r="B5" t="s">
        <v>509</v>
      </c>
    </row>
    <row r="6" spans="1:2" x14ac:dyDescent="0.3">
      <c r="A6" s="3" t="s">
        <v>505</v>
      </c>
      <c r="B6" t="s">
        <v>510</v>
      </c>
    </row>
    <row r="7" spans="1:2" x14ac:dyDescent="0.3">
      <c r="A7" s="3" t="s">
        <v>505</v>
      </c>
      <c r="B7" t="s">
        <v>511</v>
      </c>
    </row>
    <row r="8" spans="1:2" x14ac:dyDescent="0.3">
      <c r="A8" s="3" t="s">
        <v>505</v>
      </c>
      <c r="B8" t="s">
        <v>512</v>
      </c>
    </row>
    <row r="9" spans="1:2" x14ac:dyDescent="0.3">
      <c r="A9" s="3" t="s">
        <v>505</v>
      </c>
      <c r="B9" t="s">
        <v>513</v>
      </c>
    </row>
    <row r="10" spans="1:2" x14ac:dyDescent="0.3">
      <c r="A10" s="3" t="s">
        <v>505</v>
      </c>
      <c r="B10" t="s">
        <v>514</v>
      </c>
    </row>
    <row r="11" spans="1:2" x14ac:dyDescent="0.3">
      <c r="A11" s="3" t="s">
        <v>505</v>
      </c>
      <c r="B11" t="s">
        <v>515</v>
      </c>
    </row>
    <row r="12" spans="1:2" x14ac:dyDescent="0.3">
      <c r="A12" s="3" t="s">
        <v>516</v>
      </c>
      <c r="B12" t="s">
        <v>622</v>
      </c>
    </row>
    <row r="13" spans="1:2" x14ac:dyDescent="0.3">
      <c r="A13" s="3" t="s">
        <v>516</v>
      </c>
      <c r="B13" t="s">
        <v>623</v>
      </c>
    </row>
    <row r="14" spans="1:2" x14ac:dyDescent="0.3">
      <c r="A14" s="3" t="s">
        <v>516</v>
      </c>
      <c r="B14" t="s">
        <v>624</v>
      </c>
    </row>
    <row r="15" spans="1:2" x14ac:dyDescent="0.3">
      <c r="A15" s="3" t="s">
        <v>516</v>
      </c>
      <c r="B15" t="s">
        <v>642</v>
      </c>
    </row>
    <row r="16" spans="1:2" x14ac:dyDescent="0.3">
      <c r="A16" s="3" t="s">
        <v>516</v>
      </c>
      <c r="B16" t="s">
        <v>641</v>
      </c>
    </row>
    <row r="17" spans="1:2" x14ac:dyDescent="0.3">
      <c r="A17" s="3" t="s">
        <v>516</v>
      </c>
      <c r="B17" t="s">
        <v>643</v>
      </c>
    </row>
    <row r="18" spans="1:2" x14ac:dyDescent="0.3">
      <c r="A18" s="3" t="s">
        <v>516</v>
      </c>
      <c r="B18" t="s">
        <v>644</v>
      </c>
    </row>
    <row r="19" spans="1:2" x14ac:dyDescent="0.3">
      <c r="A19" s="3" t="s">
        <v>516</v>
      </c>
      <c r="B19" t="s">
        <v>645</v>
      </c>
    </row>
    <row r="20" spans="1:2" x14ac:dyDescent="0.3">
      <c r="A20" s="3" t="s">
        <v>516</v>
      </c>
      <c r="B20" t="s">
        <v>517</v>
      </c>
    </row>
    <row r="21" spans="1:2" x14ac:dyDescent="0.3">
      <c r="A21" s="3" t="s">
        <v>516</v>
      </c>
      <c r="B21" t="s">
        <v>518</v>
      </c>
    </row>
    <row r="22" spans="1:2" x14ac:dyDescent="0.3">
      <c r="A22" s="3" t="s">
        <v>516</v>
      </c>
      <c r="B22" t="s">
        <v>519</v>
      </c>
    </row>
    <row r="23" spans="1:2" x14ac:dyDescent="0.3">
      <c r="A23" s="3" t="s">
        <v>516</v>
      </c>
      <c r="B23" t="s">
        <v>520</v>
      </c>
    </row>
    <row r="24" spans="1:2" x14ac:dyDescent="0.3">
      <c r="A24" s="3" t="s">
        <v>516</v>
      </c>
      <c r="B24" t="s">
        <v>521</v>
      </c>
    </row>
    <row r="25" spans="1:2" x14ac:dyDescent="0.3">
      <c r="A25" s="3" t="s">
        <v>516</v>
      </c>
      <c r="B25" t="s">
        <v>522</v>
      </c>
    </row>
    <row r="26" spans="1:2" x14ac:dyDescent="0.3">
      <c r="A26" s="3" t="s">
        <v>516</v>
      </c>
      <c r="B26" t="s">
        <v>523</v>
      </c>
    </row>
    <row r="27" spans="1:2" x14ac:dyDescent="0.3">
      <c r="A27" s="3" t="s">
        <v>516</v>
      </c>
      <c r="B27" t="s">
        <v>524</v>
      </c>
    </row>
    <row r="28" spans="1:2" x14ac:dyDescent="0.3">
      <c r="A28" s="3" t="s">
        <v>516</v>
      </c>
      <c r="B28" t="s">
        <v>525</v>
      </c>
    </row>
    <row r="29" spans="1:2" x14ac:dyDescent="0.3">
      <c r="A29" s="3" t="s">
        <v>516</v>
      </c>
      <c r="B29" t="s">
        <v>526</v>
      </c>
    </row>
    <row r="30" spans="1:2" x14ac:dyDescent="0.3">
      <c r="A30" s="3" t="s">
        <v>527</v>
      </c>
      <c r="B30" t="s">
        <v>528</v>
      </c>
    </row>
    <row r="31" spans="1:2" x14ac:dyDescent="0.3">
      <c r="A31" s="3" t="s">
        <v>527</v>
      </c>
      <c r="B31" t="s">
        <v>529</v>
      </c>
    </row>
    <row r="32" spans="1:2" x14ac:dyDescent="0.3">
      <c r="A32" s="3" t="s">
        <v>527</v>
      </c>
      <c r="B32" t="s">
        <v>530</v>
      </c>
    </row>
    <row r="33" spans="1:2" x14ac:dyDescent="0.3">
      <c r="A33" s="3" t="s">
        <v>527</v>
      </c>
      <c r="B33" t="s">
        <v>531</v>
      </c>
    </row>
    <row r="34" spans="1:2" x14ac:dyDescent="0.3">
      <c r="A34" s="3" t="s">
        <v>527</v>
      </c>
      <c r="B34" t="s">
        <v>532</v>
      </c>
    </row>
    <row r="35" spans="1:2" x14ac:dyDescent="0.3">
      <c r="A35" s="3" t="s">
        <v>527</v>
      </c>
      <c r="B35" t="s">
        <v>533</v>
      </c>
    </row>
    <row r="36" spans="1:2" x14ac:dyDescent="0.3">
      <c r="A36" s="3" t="s">
        <v>527</v>
      </c>
      <c r="B36" t="s">
        <v>534</v>
      </c>
    </row>
    <row r="37" spans="1:2" x14ac:dyDescent="0.3">
      <c r="A37" s="3" t="s">
        <v>527</v>
      </c>
      <c r="B37" t="s">
        <v>535</v>
      </c>
    </row>
    <row r="38" spans="1:2" x14ac:dyDescent="0.3">
      <c r="A38" s="3" t="s">
        <v>527</v>
      </c>
      <c r="B38" t="s">
        <v>536</v>
      </c>
    </row>
    <row r="39" spans="1:2" x14ac:dyDescent="0.3">
      <c r="A39" s="3" t="s">
        <v>527</v>
      </c>
      <c r="B39" t="s">
        <v>537</v>
      </c>
    </row>
    <row r="40" spans="1:2" x14ac:dyDescent="0.3">
      <c r="A40" s="3" t="s">
        <v>527</v>
      </c>
      <c r="B40" t="s">
        <v>538</v>
      </c>
    </row>
    <row r="41" spans="1:2" x14ac:dyDescent="0.3">
      <c r="A41" s="3" t="s">
        <v>527</v>
      </c>
      <c r="B41" t="s">
        <v>539</v>
      </c>
    </row>
    <row r="42" spans="1:2" x14ac:dyDescent="0.3">
      <c r="A42" s="3" t="s">
        <v>527</v>
      </c>
      <c r="B42" t="s">
        <v>540</v>
      </c>
    </row>
    <row r="43" spans="1:2" x14ac:dyDescent="0.3">
      <c r="A43" s="3" t="s">
        <v>527</v>
      </c>
      <c r="B43" t="s">
        <v>541</v>
      </c>
    </row>
    <row r="44" spans="1:2" x14ac:dyDescent="0.3">
      <c r="A44" s="3" t="s">
        <v>542</v>
      </c>
      <c r="B44" t="s">
        <v>543</v>
      </c>
    </row>
    <row r="45" spans="1:2" x14ac:dyDescent="0.3">
      <c r="A45" s="3" t="s">
        <v>542</v>
      </c>
      <c r="B45" t="s">
        <v>544</v>
      </c>
    </row>
    <row r="46" spans="1:2" x14ac:dyDescent="0.3">
      <c r="A46" s="3" t="s">
        <v>542</v>
      </c>
      <c r="B46" t="s">
        <v>545</v>
      </c>
    </row>
    <row r="47" spans="1:2" x14ac:dyDescent="0.3">
      <c r="A47" s="3" t="s">
        <v>546</v>
      </c>
      <c r="B47" t="s">
        <v>547</v>
      </c>
    </row>
    <row r="48" spans="1:2" x14ac:dyDescent="0.3">
      <c r="A48" s="3" t="s">
        <v>546</v>
      </c>
      <c r="B48" t="s">
        <v>548</v>
      </c>
    </row>
    <row r="49" spans="1:2" x14ac:dyDescent="0.3">
      <c r="A49" s="3" t="s">
        <v>546</v>
      </c>
      <c r="B49" t="s">
        <v>549</v>
      </c>
    </row>
  </sheetData>
  <autoFilter ref="A1:B49" xr:uid="{00000000-0009-0000-0000-000001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45" customWidth="1"/>
    <col min="3" max="3" width="15" customWidth="1"/>
  </cols>
  <sheetData>
    <row r="1" spans="1:3" x14ac:dyDescent="0.3">
      <c r="A1" s="1" t="s">
        <v>550</v>
      </c>
      <c r="B1" s="1" t="s">
        <v>551</v>
      </c>
      <c r="C1" s="1" t="s">
        <v>552</v>
      </c>
    </row>
    <row r="2" spans="1:3" x14ac:dyDescent="0.3">
      <c r="A2" t="s">
        <v>0</v>
      </c>
      <c r="B2" t="s">
        <v>553</v>
      </c>
      <c r="C2" t="s">
        <v>554</v>
      </c>
    </row>
    <row r="3" spans="1:3" x14ac:dyDescent="0.3">
      <c r="A3" t="s">
        <v>1</v>
      </c>
      <c r="B3" t="s">
        <v>555</v>
      </c>
      <c r="C3" t="s">
        <v>556</v>
      </c>
    </row>
    <row r="4" spans="1:3" x14ac:dyDescent="0.3">
      <c r="A4" t="s">
        <v>2</v>
      </c>
      <c r="B4" t="s">
        <v>557</v>
      </c>
      <c r="C4" t="s">
        <v>554</v>
      </c>
    </row>
    <row r="5" spans="1:3" x14ac:dyDescent="0.3">
      <c r="A5" t="s">
        <v>3</v>
      </c>
      <c r="B5" t="s">
        <v>558</v>
      </c>
      <c r="C5" t="s">
        <v>554</v>
      </c>
    </row>
    <row r="6" spans="1:3" x14ac:dyDescent="0.3">
      <c r="A6" t="s">
        <v>4</v>
      </c>
      <c r="B6" t="s">
        <v>559</v>
      </c>
      <c r="C6" t="s">
        <v>554</v>
      </c>
    </row>
    <row r="7" spans="1:3" x14ac:dyDescent="0.3">
      <c r="A7" t="s">
        <v>5</v>
      </c>
      <c r="B7" t="s">
        <v>560</v>
      </c>
      <c r="C7" t="s">
        <v>554</v>
      </c>
    </row>
    <row r="8" spans="1:3" x14ac:dyDescent="0.3">
      <c r="A8" t="s">
        <v>6</v>
      </c>
      <c r="B8" t="s">
        <v>561</v>
      </c>
      <c r="C8" t="s">
        <v>554</v>
      </c>
    </row>
    <row r="9" spans="1:3" x14ac:dyDescent="0.3">
      <c r="A9" t="s">
        <v>7</v>
      </c>
      <c r="B9" t="s">
        <v>562</v>
      </c>
      <c r="C9" t="s">
        <v>554</v>
      </c>
    </row>
    <row r="10" spans="1:3" x14ac:dyDescent="0.3">
      <c r="A10" t="s">
        <v>8</v>
      </c>
      <c r="B10" t="s">
        <v>563</v>
      </c>
      <c r="C10" t="s">
        <v>554</v>
      </c>
    </row>
    <row r="11" spans="1:3" x14ac:dyDescent="0.3">
      <c r="A11" t="s">
        <v>9</v>
      </c>
      <c r="B11" t="s">
        <v>564</v>
      </c>
      <c r="C11" t="s">
        <v>565</v>
      </c>
    </row>
    <row r="12" spans="1:3" x14ac:dyDescent="0.3">
      <c r="A12" t="s">
        <v>10</v>
      </c>
      <c r="B12" t="s">
        <v>566</v>
      </c>
      <c r="C12" t="s">
        <v>567</v>
      </c>
    </row>
    <row r="13" spans="1:3" x14ac:dyDescent="0.3">
      <c r="A13" t="s">
        <v>11</v>
      </c>
      <c r="B13" t="s">
        <v>568</v>
      </c>
      <c r="C13" t="s">
        <v>569</v>
      </c>
    </row>
    <row r="14" spans="1:3" x14ac:dyDescent="0.3">
      <c r="A14" t="s">
        <v>12</v>
      </c>
      <c r="B14" t="s">
        <v>570</v>
      </c>
      <c r="C14" t="s">
        <v>567</v>
      </c>
    </row>
    <row r="15" spans="1:3" x14ac:dyDescent="0.3">
      <c r="A15" t="s">
        <v>13</v>
      </c>
      <c r="B15" t="s">
        <v>571</v>
      </c>
      <c r="C15" t="s">
        <v>554</v>
      </c>
    </row>
    <row r="16" spans="1:3" x14ac:dyDescent="0.3">
      <c r="A16" t="s">
        <v>14</v>
      </c>
      <c r="B16" t="s">
        <v>572</v>
      </c>
      <c r="C16" t="s">
        <v>554</v>
      </c>
    </row>
    <row r="17" spans="1:3" x14ac:dyDescent="0.3">
      <c r="A17" t="s">
        <v>15</v>
      </c>
      <c r="B17" t="s">
        <v>573</v>
      </c>
      <c r="C17" t="s">
        <v>554</v>
      </c>
    </row>
  </sheetData>
  <autoFilter ref="A1:C17" xr:uid="{00000000-0009-0000-0000-000002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61"/>
  <sheetViews>
    <sheetView workbookViewId="0"/>
  </sheetViews>
  <sheetFormatPr defaultRowHeight="14.4" x14ac:dyDescent="0.3"/>
  <cols>
    <col min="1" max="1" width="16" customWidth="1"/>
    <col min="2" max="2" width="21" customWidth="1"/>
    <col min="3" max="3" width="29" customWidth="1"/>
    <col min="4" max="4" width="20" customWidth="1"/>
    <col min="5" max="5" width="15" customWidth="1"/>
    <col min="6" max="6" width="12" customWidth="1"/>
    <col min="7" max="7" width="23" customWidth="1"/>
    <col min="8" max="8" width="13" customWidth="1"/>
    <col min="9" max="9" width="17" customWidth="1"/>
    <col min="10" max="10" width="12" customWidth="1"/>
    <col min="11" max="11" width="16" customWidth="1"/>
    <col min="12" max="13" width="15" customWidth="1"/>
    <col min="14" max="14" width="16" customWidth="1"/>
    <col min="15" max="15" width="17" customWidth="1"/>
    <col min="16" max="19" width="12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574</v>
      </c>
      <c r="R1" s="1" t="s">
        <v>575</v>
      </c>
      <c r="S1" s="1" t="s">
        <v>576</v>
      </c>
    </row>
    <row r="2" spans="1:19" x14ac:dyDescent="0.3">
      <c r="A2" t="s">
        <v>356</v>
      </c>
      <c r="B2" s="2">
        <v>45987</v>
      </c>
      <c r="C2" t="s">
        <v>130</v>
      </c>
      <c r="D2" t="s">
        <v>131</v>
      </c>
      <c r="E2" t="s">
        <v>19</v>
      </c>
      <c r="F2" t="s">
        <v>20</v>
      </c>
      <c r="G2" t="s">
        <v>295</v>
      </c>
      <c r="H2" t="s">
        <v>32</v>
      </c>
      <c r="I2" t="s">
        <v>58</v>
      </c>
      <c r="J2">
        <v>12</v>
      </c>
      <c r="K2">
        <v>412000</v>
      </c>
      <c r="L2">
        <v>0.02</v>
      </c>
      <c r="M2">
        <v>4845120</v>
      </c>
      <c r="N2" t="s">
        <v>35</v>
      </c>
      <c r="O2" t="s">
        <v>46</v>
      </c>
      <c r="P2" t="s">
        <v>61</v>
      </c>
      <c r="Q2">
        <v>11</v>
      </c>
      <c r="R2" t="s">
        <v>577</v>
      </c>
      <c r="S2" t="s">
        <v>578</v>
      </c>
    </row>
    <row r="3" spans="1:19" x14ac:dyDescent="0.3">
      <c r="A3" t="s">
        <v>407</v>
      </c>
      <c r="B3" s="2">
        <v>45712</v>
      </c>
      <c r="C3" t="s">
        <v>113</v>
      </c>
      <c r="D3" t="s">
        <v>29</v>
      </c>
      <c r="E3" t="s">
        <v>84</v>
      </c>
      <c r="F3" t="s">
        <v>114</v>
      </c>
      <c r="G3" t="s">
        <v>74</v>
      </c>
      <c r="H3" t="s">
        <v>32</v>
      </c>
      <c r="I3" t="s">
        <v>33</v>
      </c>
      <c r="J3">
        <v>10</v>
      </c>
      <c r="K3">
        <v>97000</v>
      </c>
      <c r="L3">
        <v>0.05</v>
      </c>
      <c r="M3">
        <v>921500</v>
      </c>
      <c r="N3" t="s">
        <v>86</v>
      </c>
      <c r="O3" t="s">
        <v>60</v>
      </c>
      <c r="P3" t="s">
        <v>61</v>
      </c>
      <c r="Q3">
        <v>2</v>
      </c>
      <c r="R3" t="s">
        <v>579</v>
      </c>
      <c r="S3" t="s">
        <v>580</v>
      </c>
    </row>
    <row r="4" spans="1:19" x14ac:dyDescent="0.3">
      <c r="A4" t="s">
        <v>581</v>
      </c>
      <c r="B4" s="2">
        <v>45771</v>
      </c>
      <c r="C4" t="s">
        <v>28</v>
      </c>
      <c r="D4" t="s">
        <v>29</v>
      </c>
      <c r="E4" t="s">
        <v>30</v>
      </c>
      <c r="F4" t="s">
        <v>20</v>
      </c>
      <c r="G4" t="s">
        <v>341</v>
      </c>
      <c r="H4" t="s">
        <v>101</v>
      </c>
      <c r="I4" t="s">
        <v>102</v>
      </c>
      <c r="J4">
        <v>10</v>
      </c>
      <c r="K4">
        <v>129000</v>
      </c>
      <c r="L4">
        <v>0</v>
      </c>
      <c r="M4">
        <v>0</v>
      </c>
      <c r="N4" t="s">
        <v>35</v>
      </c>
      <c r="O4" t="s">
        <v>95</v>
      </c>
      <c r="P4" t="s">
        <v>26</v>
      </c>
      <c r="Q4">
        <v>4</v>
      </c>
      <c r="R4" t="s">
        <v>582</v>
      </c>
      <c r="S4" t="s">
        <v>583</v>
      </c>
    </row>
    <row r="5" spans="1:19" x14ac:dyDescent="0.3">
      <c r="A5" t="s">
        <v>399</v>
      </c>
      <c r="B5" s="2">
        <v>45772</v>
      </c>
      <c r="C5" t="s">
        <v>67</v>
      </c>
      <c r="D5" t="s">
        <v>68</v>
      </c>
      <c r="E5" t="s">
        <v>69</v>
      </c>
      <c r="F5" t="s">
        <v>70</v>
      </c>
      <c r="G5" t="s">
        <v>125</v>
      </c>
      <c r="H5" t="s">
        <v>32</v>
      </c>
      <c r="I5" t="s">
        <v>52</v>
      </c>
      <c r="J5">
        <v>13</v>
      </c>
      <c r="K5">
        <v>365000</v>
      </c>
      <c r="L5">
        <v>0</v>
      </c>
      <c r="M5">
        <v>4745000</v>
      </c>
      <c r="N5" t="s">
        <v>94</v>
      </c>
      <c r="O5" t="s">
        <v>145</v>
      </c>
      <c r="P5" t="s">
        <v>61</v>
      </c>
      <c r="Q5">
        <v>4</v>
      </c>
      <c r="R5" t="s">
        <v>582</v>
      </c>
      <c r="S5" t="s">
        <v>583</v>
      </c>
    </row>
    <row r="6" spans="1:19" x14ac:dyDescent="0.3">
      <c r="A6" t="s">
        <v>247</v>
      </c>
      <c r="B6" s="2">
        <v>45802</v>
      </c>
      <c r="C6" t="s">
        <v>63</v>
      </c>
      <c r="D6" t="s">
        <v>18</v>
      </c>
      <c r="E6" t="s">
        <v>42</v>
      </c>
      <c r="F6" t="s">
        <v>42</v>
      </c>
      <c r="G6" t="s">
        <v>21</v>
      </c>
      <c r="H6" t="s">
        <v>22</v>
      </c>
      <c r="I6" t="s">
        <v>23</v>
      </c>
      <c r="J6">
        <v>13</v>
      </c>
      <c r="K6">
        <v>17000</v>
      </c>
      <c r="L6">
        <v>0.02</v>
      </c>
      <c r="M6">
        <v>216580</v>
      </c>
      <c r="N6" t="s">
        <v>86</v>
      </c>
      <c r="O6" t="s">
        <v>95</v>
      </c>
      <c r="P6" t="s">
        <v>61</v>
      </c>
      <c r="Q6">
        <v>5</v>
      </c>
      <c r="R6" t="s">
        <v>584</v>
      </c>
      <c r="S6" t="s">
        <v>583</v>
      </c>
    </row>
    <row r="7" spans="1:19" x14ac:dyDescent="0.3">
      <c r="A7" t="s">
        <v>186</v>
      </c>
      <c r="B7" s="2">
        <v>45709</v>
      </c>
      <c r="C7" t="s">
        <v>159</v>
      </c>
      <c r="D7" t="s">
        <v>131</v>
      </c>
      <c r="E7" t="s">
        <v>84</v>
      </c>
      <c r="F7" t="s">
        <v>114</v>
      </c>
      <c r="G7" t="s">
        <v>109</v>
      </c>
      <c r="H7" t="s">
        <v>32</v>
      </c>
      <c r="I7" t="s">
        <v>44</v>
      </c>
      <c r="J7">
        <v>10</v>
      </c>
      <c r="K7">
        <v>134000</v>
      </c>
      <c r="L7">
        <v>0.02</v>
      </c>
      <c r="M7">
        <v>1313200</v>
      </c>
      <c r="N7" t="s">
        <v>94</v>
      </c>
      <c r="O7" t="s">
        <v>60</v>
      </c>
      <c r="P7" t="s">
        <v>61</v>
      </c>
      <c r="Q7">
        <v>2</v>
      </c>
      <c r="R7" t="s">
        <v>579</v>
      </c>
      <c r="S7" t="s">
        <v>580</v>
      </c>
    </row>
    <row r="8" spans="1:19" x14ac:dyDescent="0.3">
      <c r="A8" t="s">
        <v>386</v>
      </c>
      <c r="B8" s="2">
        <v>45853</v>
      </c>
      <c r="C8" t="s">
        <v>82</v>
      </c>
      <c r="D8" t="s">
        <v>83</v>
      </c>
      <c r="E8" t="s">
        <v>84</v>
      </c>
      <c r="F8" t="s">
        <v>114</v>
      </c>
      <c r="G8" t="s">
        <v>178</v>
      </c>
      <c r="H8" t="s">
        <v>101</v>
      </c>
      <c r="I8" t="s">
        <v>179</v>
      </c>
      <c r="J8">
        <v>5</v>
      </c>
      <c r="K8">
        <v>85000</v>
      </c>
      <c r="L8">
        <v>0.1</v>
      </c>
      <c r="M8">
        <v>382500</v>
      </c>
      <c r="N8" t="s">
        <v>35</v>
      </c>
      <c r="O8" t="s">
        <v>60</v>
      </c>
      <c r="P8" t="s">
        <v>61</v>
      </c>
      <c r="Q8">
        <v>7</v>
      </c>
      <c r="R8" t="s">
        <v>585</v>
      </c>
      <c r="S8" t="s">
        <v>586</v>
      </c>
    </row>
    <row r="9" spans="1:19" x14ac:dyDescent="0.3">
      <c r="A9" t="s">
        <v>321</v>
      </c>
      <c r="B9" s="2">
        <v>45683</v>
      </c>
      <c r="C9" t="s">
        <v>28</v>
      </c>
      <c r="D9" t="s">
        <v>29</v>
      </c>
      <c r="E9" t="s">
        <v>30</v>
      </c>
      <c r="F9" t="s">
        <v>20</v>
      </c>
      <c r="G9" t="s">
        <v>137</v>
      </c>
      <c r="H9" t="s">
        <v>138</v>
      </c>
      <c r="I9" t="s">
        <v>138</v>
      </c>
      <c r="J9">
        <v>2</v>
      </c>
      <c r="K9">
        <v>31000</v>
      </c>
      <c r="L9">
        <v>0</v>
      </c>
      <c r="M9">
        <v>62000</v>
      </c>
      <c r="N9" t="s">
        <v>94</v>
      </c>
      <c r="O9" t="s">
        <v>175</v>
      </c>
      <c r="P9" t="s">
        <v>61</v>
      </c>
      <c r="Q9">
        <v>1</v>
      </c>
      <c r="R9" t="s">
        <v>587</v>
      </c>
      <c r="S9" t="s">
        <v>580</v>
      </c>
    </row>
    <row r="10" spans="1:19" x14ac:dyDescent="0.3">
      <c r="A10" t="s">
        <v>329</v>
      </c>
      <c r="B10" s="2">
        <v>45892</v>
      </c>
      <c r="C10" t="s">
        <v>159</v>
      </c>
      <c r="D10" t="s">
        <v>131</v>
      </c>
      <c r="E10" t="s">
        <v>84</v>
      </c>
      <c r="F10" t="s">
        <v>114</v>
      </c>
      <c r="G10" t="s">
        <v>160</v>
      </c>
      <c r="H10" t="s">
        <v>22</v>
      </c>
      <c r="I10" t="s">
        <v>23</v>
      </c>
      <c r="J10">
        <v>6</v>
      </c>
      <c r="K10">
        <v>78000</v>
      </c>
      <c r="L10">
        <v>0.02</v>
      </c>
      <c r="M10">
        <v>458640</v>
      </c>
      <c r="N10" t="s">
        <v>53</v>
      </c>
      <c r="O10" t="s">
        <v>60</v>
      </c>
      <c r="P10" t="s">
        <v>61</v>
      </c>
      <c r="Q10">
        <v>8</v>
      </c>
      <c r="R10" t="s">
        <v>588</v>
      </c>
      <c r="S10" t="s">
        <v>586</v>
      </c>
    </row>
    <row r="11" spans="1:19" x14ac:dyDescent="0.3">
      <c r="A11" t="s">
        <v>176</v>
      </c>
      <c r="B11" s="2">
        <v>45971</v>
      </c>
      <c r="C11" t="s">
        <v>117</v>
      </c>
      <c r="D11" t="s">
        <v>68</v>
      </c>
      <c r="E11" t="s">
        <v>123</v>
      </c>
      <c r="F11" t="s">
        <v>225</v>
      </c>
      <c r="G11" t="s">
        <v>178</v>
      </c>
      <c r="H11" t="s">
        <v>101</v>
      </c>
      <c r="I11" t="s">
        <v>179</v>
      </c>
      <c r="J11">
        <v>12</v>
      </c>
      <c r="K11">
        <v>102000</v>
      </c>
      <c r="L11">
        <v>0</v>
      </c>
      <c r="M11">
        <v>1224000</v>
      </c>
      <c r="N11" t="s">
        <v>94</v>
      </c>
      <c r="O11" t="s">
        <v>95</v>
      </c>
      <c r="P11" t="s">
        <v>61</v>
      </c>
      <c r="Q11">
        <v>11</v>
      </c>
      <c r="R11" t="s">
        <v>577</v>
      </c>
      <c r="S11" t="s">
        <v>578</v>
      </c>
    </row>
    <row r="12" spans="1:19" x14ac:dyDescent="0.3">
      <c r="A12" t="s">
        <v>266</v>
      </c>
      <c r="B12" s="2">
        <v>45798</v>
      </c>
      <c r="C12" t="s">
        <v>113</v>
      </c>
      <c r="D12" t="s">
        <v>29</v>
      </c>
      <c r="E12" t="s">
        <v>84</v>
      </c>
      <c r="F12" t="s">
        <v>114</v>
      </c>
      <c r="G12" t="s">
        <v>169</v>
      </c>
      <c r="H12" t="s">
        <v>22</v>
      </c>
      <c r="I12" t="s">
        <v>23</v>
      </c>
      <c r="J12">
        <v>11</v>
      </c>
      <c r="K12">
        <v>37000</v>
      </c>
      <c r="L12">
        <v>0.02</v>
      </c>
      <c r="M12">
        <v>398860</v>
      </c>
      <c r="N12" t="s">
        <v>35</v>
      </c>
      <c r="O12" t="s">
        <v>75</v>
      </c>
      <c r="P12" t="s">
        <v>61</v>
      </c>
      <c r="Q12">
        <v>5</v>
      </c>
      <c r="R12" t="s">
        <v>584</v>
      </c>
      <c r="S12" t="s">
        <v>583</v>
      </c>
    </row>
    <row r="13" spans="1:19" x14ac:dyDescent="0.3">
      <c r="A13" t="s">
        <v>270</v>
      </c>
      <c r="B13" s="2">
        <v>45821</v>
      </c>
      <c r="C13" t="s">
        <v>89</v>
      </c>
      <c r="D13" t="s">
        <v>90</v>
      </c>
      <c r="E13" t="s">
        <v>19</v>
      </c>
      <c r="F13" t="s">
        <v>20</v>
      </c>
      <c r="G13" t="s">
        <v>125</v>
      </c>
      <c r="H13" t="s">
        <v>32</v>
      </c>
      <c r="I13" t="s">
        <v>52</v>
      </c>
      <c r="J13">
        <v>2</v>
      </c>
      <c r="K13">
        <v>400000</v>
      </c>
      <c r="L13">
        <v>0</v>
      </c>
      <c r="M13">
        <v>0</v>
      </c>
      <c r="N13" t="s">
        <v>53</v>
      </c>
      <c r="O13" t="s">
        <v>36</v>
      </c>
      <c r="P13" t="s">
        <v>26</v>
      </c>
      <c r="Q13">
        <v>6</v>
      </c>
      <c r="R13" t="s">
        <v>589</v>
      </c>
      <c r="S13" t="s">
        <v>583</v>
      </c>
    </row>
    <row r="14" spans="1:19" x14ac:dyDescent="0.3">
      <c r="A14" t="s">
        <v>410</v>
      </c>
      <c r="B14" s="2">
        <v>45995</v>
      </c>
      <c r="C14" t="s">
        <v>287</v>
      </c>
      <c r="D14" t="s">
        <v>22</v>
      </c>
      <c r="E14" t="s">
        <v>19</v>
      </c>
      <c r="F14" t="s">
        <v>20</v>
      </c>
      <c r="G14" t="s">
        <v>64</v>
      </c>
      <c r="H14" t="s">
        <v>32</v>
      </c>
      <c r="I14" t="s">
        <v>65</v>
      </c>
      <c r="J14">
        <v>15</v>
      </c>
      <c r="K14">
        <v>574000</v>
      </c>
      <c r="L14">
        <v>0.05</v>
      </c>
      <c r="M14">
        <v>8179500</v>
      </c>
      <c r="N14" t="s">
        <v>53</v>
      </c>
      <c r="O14" t="s">
        <v>46</v>
      </c>
      <c r="P14" t="s">
        <v>61</v>
      </c>
      <c r="Q14">
        <v>12</v>
      </c>
      <c r="R14" t="s">
        <v>590</v>
      </c>
      <c r="S14" t="s">
        <v>578</v>
      </c>
    </row>
    <row r="15" spans="1:19" x14ac:dyDescent="0.3">
      <c r="A15" t="s">
        <v>319</v>
      </c>
      <c r="B15" s="2">
        <v>45786</v>
      </c>
      <c r="C15" t="s">
        <v>113</v>
      </c>
      <c r="D15" t="s">
        <v>29</v>
      </c>
      <c r="E15" t="s">
        <v>84</v>
      </c>
      <c r="F15" t="s">
        <v>114</v>
      </c>
      <c r="G15" t="s">
        <v>178</v>
      </c>
      <c r="H15" t="s">
        <v>101</v>
      </c>
      <c r="I15" t="s">
        <v>179</v>
      </c>
      <c r="J15">
        <v>5</v>
      </c>
      <c r="K15">
        <v>89000</v>
      </c>
      <c r="L15">
        <v>0.1</v>
      </c>
      <c r="M15">
        <v>400500</v>
      </c>
      <c r="N15" t="s">
        <v>94</v>
      </c>
      <c r="O15" t="s">
        <v>145</v>
      </c>
      <c r="P15" t="s">
        <v>87</v>
      </c>
      <c r="Q15">
        <v>5</v>
      </c>
      <c r="R15" t="s">
        <v>584</v>
      </c>
      <c r="S15" t="s">
        <v>583</v>
      </c>
    </row>
    <row r="16" spans="1:19" x14ac:dyDescent="0.3">
      <c r="A16" t="s">
        <v>429</v>
      </c>
      <c r="B16" s="2">
        <v>45772</v>
      </c>
      <c r="C16" t="s">
        <v>63</v>
      </c>
      <c r="D16" t="s">
        <v>18</v>
      </c>
      <c r="E16" t="s">
        <v>42</v>
      </c>
      <c r="F16" t="s">
        <v>42</v>
      </c>
      <c r="G16" t="s">
        <v>341</v>
      </c>
      <c r="H16" t="s">
        <v>101</v>
      </c>
      <c r="I16" t="s">
        <v>102</v>
      </c>
      <c r="J16">
        <v>8</v>
      </c>
      <c r="K16">
        <v>111000</v>
      </c>
      <c r="L16">
        <v>0</v>
      </c>
      <c r="M16">
        <v>888000</v>
      </c>
      <c r="N16" t="s">
        <v>86</v>
      </c>
      <c r="O16" t="s">
        <v>46</v>
      </c>
      <c r="P16" t="s">
        <v>61</v>
      </c>
      <c r="Q16">
        <v>4</v>
      </c>
      <c r="R16" t="s">
        <v>582</v>
      </c>
      <c r="S16" t="s">
        <v>583</v>
      </c>
    </row>
    <row r="17" spans="1:19" x14ac:dyDescent="0.3">
      <c r="A17" t="s">
        <v>441</v>
      </c>
      <c r="B17" s="2">
        <v>45981</v>
      </c>
      <c r="C17" t="s">
        <v>117</v>
      </c>
      <c r="D17" t="s">
        <v>68</v>
      </c>
      <c r="E17" t="s">
        <v>123</v>
      </c>
      <c r="F17" t="s">
        <v>225</v>
      </c>
      <c r="G17" t="s">
        <v>208</v>
      </c>
      <c r="H17" t="s">
        <v>209</v>
      </c>
      <c r="I17" t="s">
        <v>65</v>
      </c>
      <c r="J17">
        <v>10</v>
      </c>
      <c r="K17">
        <v>88000</v>
      </c>
      <c r="L17">
        <v>0</v>
      </c>
      <c r="M17">
        <v>880000</v>
      </c>
      <c r="N17" t="s">
        <v>94</v>
      </c>
      <c r="O17" t="s">
        <v>25</v>
      </c>
      <c r="P17" t="s">
        <v>87</v>
      </c>
      <c r="Q17">
        <v>11</v>
      </c>
      <c r="R17" t="s">
        <v>577</v>
      </c>
      <c r="S17" t="s">
        <v>578</v>
      </c>
    </row>
    <row r="18" spans="1:19" x14ac:dyDescent="0.3">
      <c r="A18" t="s">
        <v>373</v>
      </c>
      <c r="B18" s="2">
        <v>45930</v>
      </c>
      <c r="C18" t="s">
        <v>147</v>
      </c>
      <c r="D18" t="s">
        <v>18</v>
      </c>
      <c r="E18" t="s">
        <v>148</v>
      </c>
      <c r="F18" t="s">
        <v>149</v>
      </c>
      <c r="G18" t="s">
        <v>178</v>
      </c>
      <c r="H18" t="s">
        <v>101</v>
      </c>
      <c r="I18" t="s">
        <v>179</v>
      </c>
      <c r="J18">
        <v>14</v>
      </c>
      <c r="K18">
        <v>91000</v>
      </c>
      <c r="L18">
        <v>0</v>
      </c>
      <c r="M18">
        <v>-1274000</v>
      </c>
      <c r="N18" t="s">
        <v>86</v>
      </c>
      <c r="O18" t="s">
        <v>175</v>
      </c>
      <c r="P18" t="s">
        <v>183</v>
      </c>
      <c r="Q18">
        <v>9</v>
      </c>
      <c r="R18" t="s">
        <v>591</v>
      </c>
      <c r="S18" t="s">
        <v>586</v>
      </c>
    </row>
    <row r="19" spans="1:19" x14ac:dyDescent="0.3">
      <c r="A19" t="s">
        <v>498</v>
      </c>
      <c r="B19" s="2">
        <v>45988</v>
      </c>
      <c r="C19" t="s">
        <v>39</v>
      </c>
      <c r="D19" t="s">
        <v>40</v>
      </c>
      <c r="E19" t="s">
        <v>42</v>
      </c>
      <c r="F19" t="s">
        <v>42</v>
      </c>
      <c r="G19" t="s">
        <v>71</v>
      </c>
      <c r="H19" t="s">
        <v>32</v>
      </c>
      <c r="I19" t="s">
        <v>33</v>
      </c>
      <c r="J19">
        <v>5</v>
      </c>
      <c r="K19">
        <v>317000</v>
      </c>
      <c r="L19">
        <v>0.05</v>
      </c>
      <c r="M19">
        <v>1505750</v>
      </c>
      <c r="N19" t="s">
        <v>94</v>
      </c>
      <c r="O19" t="s">
        <v>75</v>
      </c>
      <c r="P19" t="s">
        <v>61</v>
      </c>
      <c r="Q19">
        <v>11</v>
      </c>
      <c r="R19" t="s">
        <v>577</v>
      </c>
      <c r="S19" t="s">
        <v>578</v>
      </c>
    </row>
    <row r="20" spans="1:19" x14ac:dyDescent="0.3">
      <c r="A20" t="s">
        <v>408</v>
      </c>
      <c r="B20" s="2">
        <v>45794</v>
      </c>
      <c r="C20" t="s">
        <v>106</v>
      </c>
      <c r="D20" t="s">
        <v>50</v>
      </c>
      <c r="E20" t="s">
        <v>107</v>
      </c>
      <c r="F20" t="s">
        <v>108</v>
      </c>
      <c r="G20" t="s">
        <v>160</v>
      </c>
      <c r="H20" t="s">
        <v>22</v>
      </c>
      <c r="I20" t="s">
        <v>23</v>
      </c>
      <c r="J20">
        <v>9</v>
      </c>
      <c r="K20">
        <v>75000</v>
      </c>
      <c r="L20">
        <v>0</v>
      </c>
      <c r="M20">
        <v>-675000</v>
      </c>
      <c r="N20" t="s">
        <v>53</v>
      </c>
      <c r="O20" t="s">
        <v>36</v>
      </c>
      <c r="P20" t="s">
        <v>183</v>
      </c>
      <c r="Q20">
        <v>5</v>
      </c>
      <c r="R20" t="s">
        <v>584</v>
      </c>
      <c r="S20" t="s">
        <v>583</v>
      </c>
    </row>
    <row r="21" spans="1:19" x14ac:dyDescent="0.3">
      <c r="A21" t="s">
        <v>158</v>
      </c>
      <c r="B21" s="2">
        <v>45738</v>
      </c>
      <c r="C21" t="s">
        <v>159</v>
      </c>
      <c r="D21" t="s">
        <v>131</v>
      </c>
      <c r="E21" t="s">
        <v>84</v>
      </c>
      <c r="F21" t="s">
        <v>114</v>
      </c>
      <c r="G21" t="s">
        <v>160</v>
      </c>
      <c r="H21" t="s">
        <v>22</v>
      </c>
      <c r="I21" t="s">
        <v>23</v>
      </c>
      <c r="J21">
        <v>9</v>
      </c>
      <c r="K21">
        <v>72000</v>
      </c>
      <c r="L21">
        <v>0.1</v>
      </c>
      <c r="M21">
        <v>583200</v>
      </c>
      <c r="N21" t="s">
        <v>53</v>
      </c>
      <c r="O21" t="s">
        <v>25</v>
      </c>
      <c r="P21" t="s">
        <v>61</v>
      </c>
      <c r="Q21">
        <v>3</v>
      </c>
      <c r="R21" t="s">
        <v>592</v>
      </c>
      <c r="S21" t="s">
        <v>580</v>
      </c>
    </row>
    <row r="22" spans="1:19" x14ac:dyDescent="0.3">
      <c r="A22" t="s">
        <v>129</v>
      </c>
      <c r="B22" s="2">
        <v>45669</v>
      </c>
      <c r="C22" t="s">
        <v>130</v>
      </c>
      <c r="D22" t="s">
        <v>131</v>
      </c>
      <c r="E22" t="s">
        <v>19</v>
      </c>
      <c r="F22" t="s">
        <v>20</v>
      </c>
      <c r="G22" t="s">
        <v>109</v>
      </c>
      <c r="H22" t="s">
        <v>32</v>
      </c>
      <c r="I22" t="s">
        <v>44</v>
      </c>
      <c r="J22">
        <v>15</v>
      </c>
      <c r="K22">
        <v>152000</v>
      </c>
      <c r="L22">
        <v>0.02</v>
      </c>
      <c r="M22">
        <v>2234400</v>
      </c>
      <c r="N22" t="s">
        <v>86</v>
      </c>
      <c r="O22" t="s">
        <v>36</v>
      </c>
      <c r="P22" t="s">
        <v>61</v>
      </c>
      <c r="Q22">
        <v>1</v>
      </c>
      <c r="R22" t="s">
        <v>587</v>
      </c>
      <c r="S22" t="s">
        <v>580</v>
      </c>
    </row>
    <row r="23" spans="1:19" x14ac:dyDescent="0.3">
      <c r="A23" t="s">
        <v>217</v>
      </c>
      <c r="B23" s="2">
        <v>45950</v>
      </c>
      <c r="C23" t="s">
        <v>82</v>
      </c>
      <c r="D23" t="s">
        <v>83</v>
      </c>
      <c r="E23" t="s">
        <v>84</v>
      </c>
      <c r="F23" t="s">
        <v>114</v>
      </c>
      <c r="G23" t="s">
        <v>74</v>
      </c>
      <c r="H23" t="s">
        <v>32</v>
      </c>
      <c r="I23" t="s">
        <v>33</v>
      </c>
      <c r="J23">
        <v>12</v>
      </c>
      <c r="K23">
        <v>78000</v>
      </c>
      <c r="L23">
        <v>0.05</v>
      </c>
      <c r="M23">
        <v>889200</v>
      </c>
      <c r="N23" t="s">
        <v>35</v>
      </c>
      <c r="O23" t="s">
        <v>46</v>
      </c>
      <c r="P23" t="s">
        <v>61</v>
      </c>
      <c r="Q23">
        <v>10</v>
      </c>
      <c r="R23" t="s">
        <v>593</v>
      </c>
      <c r="S23" t="s">
        <v>578</v>
      </c>
    </row>
    <row r="24" spans="1:19" x14ac:dyDescent="0.3">
      <c r="A24" t="s">
        <v>444</v>
      </c>
      <c r="B24" s="2">
        <v>45997</v>
      </c>
      <c r="C24" t="s">
        <v>287</v>
      </c>
      <c r="D24" t="s">
        <v>22</v>
      </c>
      <c r="E24" t="s">
        <v>19</v>
      </c>
      <c r="F24" t="s">
        <v>20</v>
      </c>
      <c r="G24" t="s">
        <v>178</v>
      </c>
      <c r="H24" t="s">
        <v>101</v>
      </c>
      <c r="I24" t="s">
        <v>179</v>
      </c>
      <c r="J24">
        <v>3</v>
      </c>
      <c r="K24">
        <v>91000</v>
      </c>
      <c r="L24">
        <v>0.02</v>
      </c>
      <c r="M24">
        <v>0</v>
      </c>
      <c r="N24" t="s">
        <v>94</v>
      </c>
      <c r="O24" t="s">
        <v>36</v>
      </c>
      <c r="P24" t="s">
        <v>26</v>
      </c>
      <c r="Q24">
        <v>12</v>
      </c>
      <c r="R24" t="s">
        <v>590</v>
      </c>
      <c r="S24" t="s">
        <v>578</v>
      </c>
    </row>
    <row r="25" spans="1:19" x14ac:dyDescent="0.3">
      <c r="A25" t="s">
        <v>259</v>
      </c>
      <c r="B25" s="2">
        <v>45936</v>
      </c>
      <c r="C25" t="s">
        <v>154</v>
      </c>
      <c r="D25" t="s">
        <v>131</v>
      </c>
      <c r="E25" t="s">
        <v>19</v>
      </c>
      <c r="F25" t="s">
        <v>20</v>
      </c>
      <c r="G25" t="s">
        <v>137</v>
      </c>
      <c r="H25" t="s">
        <v>138</v>
      </c>
      <c r="I25" t="s">
        <v>138</v>
      </c>
      <c r="J25">
        <v>7</v>
      </c>
      <c r="K25">
        <v>27000</v>
      </c>
      <c r="L25">
        <v>0.02</v>
      </c>
      <c r="M25">
        <v>185220</v>
      </c>
      <c r="N25" t="s">
        <v>94</v>
      </c>
      <c r="O25" t="s">
        <v>60</v>
      </c>
      <c r="P25" t="s">
        <v>87</v>
      </c>
      <c r="Q25">
        <v>10</v>
      </c>
      <c r="R25" t="s">
        <v>593</v>
      </c>
      <c r="S25" t="s">
        <v>578</v>
      </c>
    </row>
    <row r="26" spans="1:19" x14ac:dyDescent="0.3">
      <c r="A26" t="s">
        <v>27</v>
      </c>
      <c r="B26" s="2">
        <v>45786</v>
      </c>
      <c r="C26" t="s">
        <v>28</v>
      </c>
      <c r="D26" t="s">
        <v>29</v>
      </c>
      <c r="E26" t="s">
        <v>30</v>
      </c>
      <c r="F26" t="s">
        <v>20</v>
      </c>
      <c r="G26" t="s">
        <v>74</v>
      </c>
      <c r="H26" t="s">
        <v>32</v>
      </c>
      <c r="I26" t="s">
        <v>33</v>
      </c>
      <c r="J26">
        <v>6</v>
      </c>
      <c r="K26">
        <v>85000</v>
      </c>
      <c r="L26">
        <v>0</v>
      </c>
      <c r="M26">
        <v>0</v>
      </c>
      <c r="N26" t="s">
        <v>35</v>
      </c>
      <c r="O26" t="s">
        <v>36</v>
      </c>
      <c r="P26" t="s">
        <v>26</v>
      </c>
      <c r="Q26">
        <v>5</v>
      </c>
      <c r="R26" t="s">
        <v>584</v>
      </c>
      <c r="S26" t="s">
        <v>583</v>
      </c>
    </row>
    <row r="27" spans="1:19" x14ac:dyDescent="0.3">
      <c r="A27" t="s">
        <v>416</v>
      </c>
      <c r="B27" s="2">
        <v>45663</v>
      </c>
      <c r="C27" t="s">
        <v>82</v>
      </c>
      <c r="D27" t="s">
        <v>83</v>
      </c>
      <c r="E27" t="s">
        <v>84</v>
      </c>
      <c r="F27" t="s">
        <v>114</v>
      </c>
      <c r="G27" t="s">
        <v>57</v>
      </c>
      <c r="H27" t="s">
        <v>32</v>
      </c>
      <c r="I27" t="s">
        <v>58</v>
      </c>
      <c r="J27">
        <v>4</v>
      </c>
      <c r="K27">
        <v>743000</v>
      </c>
      <c r="L27">
        <v>0</v>
      </c>
      <c r="M27">
        <v>2972000</v>
      </c>
      <c r="N27" t="s">
        <v>53</v>
      </c>
      <c r="O27" t="s">
        <v>60</v>
      </c>
      <c r="P27" t="s">
        <v>61</v>
      </c>
      <c r="Q27">
        <v>1</v>
      </c>
      <c r="R27" t="s">
        <v>587</v>
      </c>
      <c r="S27" t="s">
        <v>580</v>
      </c>
    </row>
    <row r="28" spans="1:19" x14ac:dyDescent="0.3">
      <c r="A28" t="s">
        <v>269</v>
      </c>
      <c r="B28" s="2">
        <v>45923</v>
      </c>
      <c r="C28" t="s">
        <v>28</v>
      </c>
      <c r="D28" t="s">
        <v>29</v>
      </c>
      <c r="E28" t="s">
        <v>30</v>
      </c>
      <c r="F28" t="s">
        <v>20</v>
      </c>
      <c r="G28" t="s">
        <v>125</v>
      </c>
      <c r="H28" t="s">
        <v>32</v>
      </c>
      <c r="I28" t="s">
        <v>52</v>
      </c>
      <c r="J28">
        <v>11</v>
      </c>
      <c r="K28">
        <v>327000</v>
      </c>
      <c r="L28">
        <v>0.05</v>
      </c>
      <c r="M28">
        <v>3417150</v>
      </c>
      <c r="N28" t="s">
        <v>35</v>
      </c>
      <c r="O28" t="s">
        <v>25</v>
      </c>
      <c r="P28" t="s">
        <v>61</v>
      </c>
      <c r="Q28">
        <v>9</v>
      </c>
      <c r="R28" t="s">
        <v>591</v>
      </c>
      <c r="S28" t="s">
        <v>586</v>
      </c>
    </row>
    <row r="29" spans="1:19" x14ac:dyDescent="0.3">
      <c r="A29" t="s">
        <v>381</v>
      </c>
      <c r="B29" s="2">
        <v>45784</v>
      </c>
      <c r="C29" t="s">
        <v>287</v>
      </c>
      <c r="D29" t="s">
        <v>22</v>
      </c>
      <c r="E29" t="s">
        <v>19</v>
      </c>
      <c r="F29" t="s">
        <v>20</v>
      </c>
      <c r="G29" t="s">
        <v>208</v>
      </c>
      <c r="H29" t="s">
        <v>209</v>
      </c>
      <c r="I29" t="s">
        <v>65</v>
      </c>
      <c r="J29">
        <v>4</v>
      </c>
      <c r="K29">
        <v>97000</v>
      </c>
      <c r="L29">
        <v>0</v>
      </c>
      <c r="M29">
        <v>388000</v>
      </c>
      <c r="N29" t="s">
        <v>94</v>
      </c>
      <c r="O29" t="s">
        <v>145</v>
      </c>
      <c r="P29" t="s">
        <v>61</v>
      </c>
      <c r="Q29">
        <v>5</v>
      </c>
      <c r="R29" t="s">
        <v>584</v>
      </c>
      <c r="S29" t="s">
        <v>583</v>
      </c>
    </row>
    <row r="30" spans="1:19" x14ac:dyDescent="0.3">
      <c r="A30" t="s">
        <v>234</v>
      </c>
      <c r="B30" s="2">
        <v>45876</v>
      </c>
      <c r="C30" t="s">
        <v>56</v>
      </c>
      <c r="D30" t="s">
        <v>18</v>
      </c>
      <c r="E30" t="s">
        <v>42</v>
      </c>
      <c r="F30" t="s">
        <v>42</v>
      </c>
      <c r="G30" t="s">
        <v>235</v>
      </c>
      <c r="H30" t="s">
        <v>101</v>
      </c>
      <c r="I30" t="s">
        <v>156</v>
      </c>
      <c r="J30">
        <v>14</v>
      </c>
      <c r="K30">
        <v>187000</v>
      </c>
      <c r="L30">
        <v>0</v>
      </c>
      <c r="M30">
        <v>-2618000</v>
      </c>
      <c r="N30" t="s">
        <v>86</v>
      </c>
      <c r="O30" t="s">
        <v>75</v>
      </c>
      <c r="P30" t="s">
        <v>183</v>
      </c>
      <c r="Q30">
        <v>8</v>
      </c>
      <c r="R30" t="s">
        <v>588</v>
      </c>
      <c r="S30" t="s">
        <v>586</v>
      </c>
    </row>
    <row r="31" spans="1:19" x14ac:dyDescent="0.3">
      <c r="A31" t="s">
        <v>96</v>
      </c>
      <c r="B31" s="2">
        <v>45866</v>
      </c>
      <c r="C31" t="s">
        <v>39</v>
      </c>
      <c r="D31" t="s">
        <v>40</v>
      </c>
      <c r="E31" t="s">
        <v>42</v>
      </c>
      <c r="F31" t="s">
        <v>42</v>
      </c>
      <c r="G31" t="s">
        <v>71</v>
      </c>
      <c r="H31" t="s">
        <v>32</v>
      </c>
      <c r="I31" t="s">
        <v>33</v>
      </c>
      <c r="J31">
        <v>4</v>
      </c>
      <c r="K31">
        <v>277000</v>
      </c>
      <c r="L31">
        <v>0</v>
      </c>
      <c r="M31">
        <v>1108000</v>
      </c>
      <c r="N31" t="s">
        <v>94</v>
      </c>
      <c r="O31" t="s">
        <v>46</v>
      </c>
      <c r="P31" t="s">
        <v>61</v>
      </c>
      <c r="Q31">
        <v>7</v>
      </c>
      <c r="R31" t="s">
        <v>585</v>
      </c>
      <c r="S31" t="s">
        <v>586</v>
      </c>
    </row>
    <row r="32" spans="1:19" x14ac:dyDescent="0.3">
      <c r="A32" t="s">
        <v>122</v>
      </c>
      <c r="B32" s="2">
        <v>45876</v>
      </c>
      <c r="C32" t="s">
        <v>117</v>
      </c>
      <c r="D32" t="s">
        <v>68</v>
      </c>
      <c r="E32" t="s">
        <v>123</v>
      </c>
      <c r="F32" t="s">
        <v>225</v>
      </c>
      <c r="G32" t="s">
        <v>125</v>
      </c>
      <c r="H32" t="s">
        <v>32</v>
      </c>
      <c r="I32" t="s">
        <v>52</v>
      </c>
      <c r="J32">
        <v>8</v>
      </c>
      <c r="K32">
        <v>365000</v>
      </c>
      <c r="L32">
        <v>0</v>
      </c>
      <c r="M32">
        <v>2920000</v>
      </c>
      <c r="N32" t="s">
        <v>94</v>
      </c>
      <c r="O32" t="s">
        <v>60</v>
      </c>
      <c r="P32" t="s">
        <v>61</v>
      </c>
      <c r="Q32">
        <v>8</v>
      </c>
      <c r="R32" t="s">
        <v>588</v>
      </c>
      <c r="S32" t="s">
        <v>586</v>
      </c>
    </row>
    <row r="33" spans="1:19" x14ac:dyDescent="0.3">
      <c r="A33" t="s">
        <v>112</v>
      </c>
      <c r="B33" s="2">
        <v>45685</v>
      </c>
      <c r="C33" t="s">
        <v>113</v>
      </c>
      <c r="D33" t="s">
        <v>29</v>
      </c>
      <c r="E33" t="s">
        <v>84</v>
      </c>
      <c r="F33" t="s">
        <v>114</v>
      </c>
      <c r="G33" t="s">
        <v>295</v>
      </c>
      <c r="H33" t="s">
        <v>32</v>
      </c>
      <c r="I33" t="s">
        <v>58</v>
      </c>
      <c r="J33">
        <v>2</v>
      </c>
      <c r="K33">
        <v>389000</v>
      </c>
      <c r="L33">
        <v>0</v>
      </c>
      <c r="M33">
        <v>778000</v>
      </c>
      <c r="N33" t="s">
        <v>94</v>
      </c>
      <c r="O33" t="s">
        <v>25</v>
      </c>
      <c r="P33" t="s">
        <v>61</v>
      </c>
      <c r="Q33">
        <v>1</v>
      </c>
      <c r="R33" t="s">
        <v>587</v>
      </c>
      <c r="S33" t="s">
        <v>580</v>
      </c>
    </row>
    <row r="34" spans="1:19" x14ac:dyDescent="0.3">
      <c r="A34" t="s">
        <v>211</v>
      </c>
      <c r="B34" s="2">
        <v>45906</v>
      </c>
      <c r="C34" t="s">
        <v>154</v>
      </c>
      <c r="D34" t="s">
        <v>131</v>
      </c>
      <c r="E34" t="s">
        <v>19</v>
      </c>
      <c r="F34" t="s">
        <v>20</v>
      </c>
      <c r="G34" t="s">
        <v>64</v>
      </c>
      <c r="H34" t="s">
        <v>32</v>
      </c>
      <c r="I34" t="s">
        <v>65</v>
      </c>
      <c r="J34">
        <v>15</v>
      </c>
      <c r="K34">
        <v>467000</v>
      </c>
      <c r="L34">
        <v>0</v>
      </c>
      <c r="M34">
        <v>7005000</v>
      </c>
      <c r="N34" t="s">
        <v>94</v>
      </c>
      <c r="O34" t="s">
        <v>75</v>
      </c>
      <c r="P34" t="s">
        <v>61</v>
      </c>
      <c r="Q34">
        <v>9</v>
      </c>
      <c r="R34" t="s">
        <v>591</v>
      </c>
      <c r="S34" t="s">
        <v>586</v>
      </c>
    </row>
    <row r="35" spans="1:19" x14ac:dyDescent="0.3">
      <c r="A35" t="s">
        <v>238</v>
      </c>
      <c r="B35" s="2">
        <v>45859</v>
      </c>
      <c r="C35" t="s">
        <v>147</v>
      </c>
      <c r="D35" t="s">
        <v>18</v>
      </c>
      <c r="E35" t="s">
        <v>148</v>
      </c>
      <c r="F35" t="s">
        <v>149</v>
      </c>
      <c r="G35" t="s">
        <v>235</v>
      </c>
      <c r="H35" t="s">
        <v>101</v>
      </c>
      <c r="I35" t="s">
        <v>156</v>
      </c>
      <c r="J35">
        <v>5</v>
      </c>
      <c r="K35">
        <v>205000</v>
      </c>
      <c r="L35">
        <v>0.05</v>
      </c>
      <c r="M35">
        <v>-973750</v>
      </c>
      <c r="N35" t="s">
        <v>94</v>
      </c>
      <c r="O35" t="s">
        <v>46</v>
      </c>
      <c r="P35" t="s">
        <v>183</v>
      </c>
      <c r="Q35">
        <v>7</v>
      </c>
      <c r="R35" t="s">
        <v>585</v>
      </c>
      <c r="S35" t="s">
        <v>586</v>
      </c>
    </row>
    <row r="36" spans="1:19" x14ac:dyDescent="0.3">
      <c r="A36" t="s">
        <v>456</v>
      </c>
      <c r="B36" s="2">
        <v>45757</v>
      </c>
      <c r="C36" t="s">
        <v>135</v>
      </c>
      <c r="D36" t="s">
        <v>50</v>
      </c>
      <c r="E36" t="s">
        <v>107</v>
      </c>
      <c r="F36" t="s">
        <v>108</v>
      </c>
      <c r="G36" t="s">
        <v>21</v>
      </c>
      <c r="H36" t="s">
        <v>22</v>
      </c>
      <c r="I36" t="s">
        <v>23</v>
      </c>
      <c r="J36">
        <v>1</v>
      </c>
      <c r="K36">
        <v>21000</v>
      </c>
      <c r="L36">
        <v>0.1</v>
      </c>
      <c r="M36">
        <v>-18900</v>
      </c>
      <c r="N36" t="s">
        <v>86</v>
      </c>
      <c r="O36" t="s">
        <v>145</v>
      </c>
      <c r="P36" t="s">
        <v>183</v>
      </c>
      <c r="Q36">
        <v>4</v>
      </c>
      <c r="R36" t="s">
        <v>582</v>
      </c>
      <c r="S36" t="s">
        <v>583</v>
      </c>
    </row>
    <row r="37" spans="1:19" x14ac:dyDescent="0.3">
      <c r="A37" t="s">
        <v>285</v>
      </c>
      <c r="B37" s="2">
        <v>45689</v>
      </c>
      <c r="C37" t="s">
        <v>17</v>
      </c>
      <c r="D37" t="s">
        <v>18</v>
      </c>
      <c r="E37" t="s">
        <v>19</v>
      </c>
      <c r="F37" t="s">
        <v>20</v>
      </c>
      <c r="G37" t="s">
        <v>204</v>
      </c>
      <c r="H37" t="s">
        <v>101</v>
      </c>
      <c r="I37" t="s">
        <v>156</v>
      </c>
      <c r="J37">
        <v>9</v>
      </c>
      <c r="K37">
        <v>165000</v>
      </c>
      <c r="L37">
        <v>0.1</v>
      </c>
      <c r="M37">
        <v>1336500</v>
      </c>
      <c r="N37" t="s">
        <v>86</v>
      </c>
      <c r="O37" t="s">
        <v>60</v>
      </c>
      <c r="P37" t="s">
        <v>61</v>
      </c>
      <c r="Q37">
        <v>2</v>
      </c>
      <c r="R37" t="s">
        <v>579</v>
      </c>
      <c r="S37" t="s">
        <v>580</v>
      </c>
    </row>
    <row r="38" spans="1:19" x14ac:dyDescent="0.3">
      <c r="A38" t="s">
        <v>81</v>
      </c>
      <c r="B38" s="2">
        <v>45755</v>
      </c>
      <c r="C38" t="s">
        <v>82</v>
      </c>
      <c r="D38" t="s">
        <v>83</v>
      </c>
      <c r="E38" t="s">
        <v>84</v>
      </c>
      <c r="F38" t="s">
        <v>114</v>
      </c>
      <c r="G38" t="s">
        <v>74</v>
      </c>
      <c r="H38" t="s">
        <v>32</v>
      </c>
      <c r="I38" t="s">
        <v>33</v>
      </c>
      <c r="J38">
        <v>11</v>
      </c>
      <c r="K38">
        <v>82000</v>
      </c>
      <c r="L38">
        <v>0</v>
      </c>
      <c r="M38">
        <v>902000</v>
      </c>
      <c r="N38" t="s">
        <v>86</v>
      </c>
      <c r="O38" t="s">
        <v>36</v>
      </c>
      <c r="P38" t="s">
        <v>87</v>
      </c>
      <c r="Q38">
        <v>4</v>
      </c>
      <c r="R38" t="s">
        <v>582</v>
      </c>
      <c r="S38" t="s">
        <v>583</v>
      </c>
    </row>
    <row r="39" spans="1:19" x14ac:dyDescent="0.3">
      <c r="A39" t="s">
        <v>221</v>
      </c>
      <c r="B39" s="2">
        <v>45956</v>
      </c>
      <c r="C39" t="s">
        <v>190</v>
      </c>
      <c r="D39" t="s">
        <v>191</v>
      </c>
      <c r="E39" t="s">
        <v>42</v>
      </c>
      <c r="F39" t="s">
        <v>42</v>
      </c>
      <c r="G39" t="s">
        <v>57</v>
      </c>
      <c r="H39" t="s">
        <v>32</v>
      </c>
      <c r="I39" t="s">
        <v>58</v>
      </c>
      <c r="J39">
        <v>10</v>
      </c>
      <c r="K39">
        <v>616000</v>
      </c>
      <c r="L39">
        <v>0</v>
      </c>
      <c r="M39">
        <v>6160000</v>
      </c>
      <c r="N39" t="s">
        <v>53</v>
      </c>
      <c r="O39" t="s">
        <v>175</v>
      </c>
      <c r="P39" t="s">
        <v>87</v>
      </c>
      <c r="Q39">
        <v>10</v>
      </c>
      <c r="R39" t="s">
        <v>593</v>
      </c>
      <c r="S39" t="s">
        <v>578</v>
      </c>
    </row>
    <row r="40" spans="1:19" x14ac:dyDescent="0.3">
      <c r="A40" t="s">
        <v>380</v>
      </c>
      <c r="B40" s="2">
        <v>45764</v>
      </c>
      <c r="C40" t="s">
        <v>39</v>
      </c>
      <c r="D40" t="s">
        <v>40</v>
      </c>
      <c r="E40" t="s">
        <v>42</v>
      </c>
      <c r="F40" t="s">
        <v>42</v>
      </c>
      <c r="G40" t="s">
        <v>169</v>
      </c>
      <c r="H40" t="s">
        <v>22</v>
      </c>
      <c r="I40" t="s">
        <v>23</v>
      </c>
      <c r="J40">
        <v>5</v>
      </c>
      <c r="K40">
        <v>45000</v>
      </c>
      <c r="L40">
        <v>0.05</v>
      </c>
      <c r="M40">
        <v>213750</v>
      </c>
      <c r="N40" t="s">
        <v>53</v>
      </c>
      <c r="O40" t="s">
        <v>25</v>
      </c>
      <c r="P40" t="s">
        <v>61</v>
      </c>
      <c r="Q40">
        <v>4</v>
      </c>
      <c r="R40" t="s">
        <v>582</v>
      </c>
      <c r="S40" t="s">
        <v>583</v>
      </c>
    </row>
    <row r="41" spans="1:19" x14ac:dyDescent="0.3">
      <c r="A41" t="s">
        <v>476</v>
      </c>
      <c r="B41" s="2">
        <v>45821</v>
      </c>
      <c r="C41" t="s">
        <v>82</v>
      </c>
      <c r="D41" t="s">
        <v>83</v>
      </c>
      <c r="E41" t="s">
        <v>84</v>
      </c>
      <c r="F41" t="s">
        <v>114</v>
      </c>
      <c r="G41" t="s">
        <v>295</v>
      </c>
      <c r="H41" t="s">
        <v>32</v>
      </c>
      <c r="I41" t="s">
        <v>58</v>
      </c>
      <c r="J41">
        <v>8</v>
      </c>
      <c r="K41">
        <v>420000</v>
      </c>
      <c r="L41">
        <v>0.1</v>
      </c>
      <c r="M41">
        <v>0</v>
      </c>
      <c r="N41" t="s">
        <v>86</v>
      </c>
      <c r="O41" t="s">
        <v>60</v>
      </c>
      <c r="P41" t="s">
        <v>26</v>
      </c>
      <c r="Q41">
        <v>6</v>
      </c>
      <c r="R41" t="s">
        <v>589</v>
      </c>
      <c r="S41" t="s">
        <v>583</v>
      </c>
    </row>
    <row r="42" spans="1:19" x14ac:dyDescent="0.3">
      <c r="A42" t="s">
        <v>361</v>
      </c>
      <c r="B42" s="2">
        <v>45935</v>
      </c>
      <c r="C42" t="s">
        <v>154</v>
      </c>
      <c r="D42" t="s">
        <v>131</v>
      </c>
      <c r="E42" t="s">
        <v>19</v>
      </c>
      <c r="F42" t="s">
        <v>20</v>
      </c>
      <c r="G42" t="s">
        <v>341</v>
      </c>
      <c r="H42" t="s">
        <v>101</v>
      </c>
      <c r="I42" t="s">
        <v>102</v>
      </c>
      <c r="J42">
        <v>5</v>
      </c>
      <c r="K42">
        <v>110000</v>
      </c>
      <c r="L42">
        <v>0</v>
      </c>
      <c r="M42">
        <v>550000</v>
      </c>
      <c r="N42" t="s">
        <v>86</v>
      </c>
      <c r="O42" t="s">
        <v>36</v>
      </c>
      <c r="P42" t="s">
        <v>61</v>
      </c>
      <c r="Q42">
        <v>10</v>
      </c>
      <c r="R42" t="s">
        <v>593</v>
      </c>
      <c r="S42" t="s">
        <v>578</v>
      </c>
    </row>
    <row r="43" spans="1:19" x14ac:dyDescent="0.3">
      <c r="A43" t="s">
        <v>313</v>
      </c>
      <c r="B43" s="2">
        <v>45849</v>
      </c>
      <c r="C43" t="s">
        <v>135</v>
      </c>
      <c r="D43" t="s">
        <v>50</v>
      </c>
      <c r="E43" t="s">
        <v>107</v>
      </c>
      <c r="F43" t="s">
        <v>108</v>
      </c>
      <c r="G43" t="s">
        <v>160</v>
      </c>
      <c r="H43" t="s">
        <v>22</v>
      </c>
      <c r="I43" t="s">
        <v>23</v>
      </c>
      <c r="J43">
        <v>8</v>
      </c>
      <c r="K43">
        <v>76000</v>
      </c>
      <c r="L43">
        <v>0.1</v>
      </c>
      <c r="M43">
        <v>-547200</v>
      </c>
      <c r="N43" t="s">
        <v>53</v>
      </c>
      <c r="O43" t="s">
        <v>75</v>
      </c>
      <c r="P43" t="s">
        <v>183</v>
      </c>
      <c r="Q43">
        <v>7</v>
      </c>
      <c r="R43" t="s">
        <v>585</v>
      </c>
      <c r="S43" t="s">
        <v>586</v>
      </c>
    </row>
    <row r="44" spans="1:19" x14ac:dyDescent="0.3">
      <c r="A44" t="s">
        <v>151</v>
      </c>
      <c r="B44" s="2">
        <v>46001</v>
      </c>
      <c r="C44" t="s">
        <v>113</v>
      </c>
      <c r="D44" t="s">
        <v>29</v>
      </c>
      <c r="E44" t="s">
        <v>84</v>
      </c>
      <c r="F44" t="s">
        <v>114</v>
      </c>
      <c r="G44" t="s">
        <v>137</v>
      </c>
      <c r="H44" t="s">
        <v>138</v>
      </c>
      <c r="I44" t="s">
        <v>138</v>
      </c>
      <c r="J44">
        <v>15</v>
      </c>
      <c r="K44">
        <v>25000</v>
      </c>
      <c r="L44">
        <v>0</v>
      </c>
      <c r="M44">
        <v>375000</v>
      </c>
      <c r="N44" t="s">
        <v>53</v>
      </c>
      <c r="O44" t="s">
        <v>60</v>
      </c>
      <c r="P44" t="s">
        <v>61</v>
      </c>
      <c r="Q44">
        <v>12</v>
      </c>
      <c r="R44" t="s">
        <v>590</v>
      </c>
      <c r="S44" t="s">
        <v>578</v>
      </c>
    </row>
    <row r="45" spans="1:19" x14ac:dyDescent="0.3">
      <c r="A45" t="s">
        <v>422</v>
      </c>
      <c r="B45" s="2">
        <v>45714</v>
      </c>
      <c r="C45" t="s">
        <v>113</v>
      </c>
      <c r="D45" t="s">
        <v>29</v>
      </c>
      <c r="E45" t="s">
        <v>84</v>
      </c>
      <c r="F45" t="s">
        <v>114</v>
      </c>
      <c r="G45" t="s">
        <v>128</v>
      </c>
      <c r="H45" t="s">
        <v>22</v>
      </c>
      <c r="I45" t="s">
        <v>92</v>
      </c>
      <c r="J45">
        <v>5</v>
      </c>
      <c r="K45">
        <v>219000</v>
      </c>
      <c r="L45">
        <v>0.02</v>
      </c>
      <c r="M45">
        <v>0</v>
      </c>
      <c r="N45" t="s">
        <v>35</v>
      </c>
      <c r="O45" t="s">
        <v>145</v>
      </c>
      <c r="P45" t="s">
        <v>26</v>
      </c>
      <c r="Q45">
        <v>2</v>
      </c>
      <c r="R45" t="s">
        <v>579</v>
      </c>
      <c r="S45" t="s">
        <v>580</v>
      </c>
    </row>
    <row r="46" spans="1:19" x14ac:dyDescent="0.3">
      <c r="A46" t="s">
        <v>345</v>
      </c>
      <c r="B46" s="2">
        <v>45764</v>
      </c>
      <c r="C46" t="s">
        <v>147</v>
      </c>
      <c r="D46" t="s">
        <v>18</v>
      </c>
      <c r="E46" t="s">
        <v>148</v>
      </c>
      <c r="F46" t="s">
        <v>149</v>
      </c>
      <c r="G46" t="s">
        <v>341</v>
      </c>
      <c r="H46" t="s">
        <v>101</v>
      </c>
      <c r="I46" t="s">
        <v>102</v>
      </c>
      <c r="J46">
        <v>8</v>
      </c>
      <c r="K46">
        <v>114000</v>
      </c>
      <c r="L46">
        <v>0.02</v>
      </c>
      <c r="M46">
        <v>893760</v>
      </c>
      <c r="N46" t="s">
        <v>86</v>
      </c>
      <c r="O46" t="s">
        <v>95</v>
      </c>
      <c r="P46" t="s">
        <v>61</v>
      </c>
      <c r="Q46">
        <v>4</v>
      </c>
      <c r="R46" t="s">
        <v>582</v>
      </c>
      <c r="S46" t="s">
        <v>583</v>
      </c>
    </row>
    <row r="47" spans="1:19" x14ac:dyDescent="0.3">
      <c r="A47" t="s">
        <v>359</v>
      </c>
      <c r="B47" s="2">
        <v>45801</v>
      </c>
      <c r="C47" t="s">
        <v>17</v>
      </c>
      <c r="D47" t="s">
        <v>18</v>
      </c>
      <c r="E47" t="s">
        <v>19</v>
      </c>
      <c r="F47" t="s">
        <v>20</v>
      </c>
      <c r="G47" t="s">
        <v>295</v>
      </c>
      <c r="H47" t="s">
        <v>32</v>
      </c>
      <c r="I47" t="s">
        <v>58</v>
      </c>
      <c r="J47">
        <v>6</v>
      </c>
      <c r="K47">
        <v>445000</v>
      </c>
      <c r="L47">
        <v>0</v>
      </c>
      <c r="M47">
        <v>-2670000</v>
      </c>
      <c r="N47" t="s">
        <v>53</v>
      </c>
      <c r="O47" t="s">
        <v>46</v>
      </c>
      <c r="P47" t="s">
        <v>183</v>
      </c>
      <c r="Q47">
        <v>5</v>
      </c>
      <c r="R47" t="s">
        <v>584</v>
      </c>
      <c r="S47" t="s">
        <v>583</v>
      </c>
    </row>
    <row r="48" spans="1:19" x14ac:dyDescent="0.3">
      <c r="A48" t="s">
        <v>364</v>
      </c>
      <c r="B48" s="2">
        <v>45886</v>
      </c>
      <c r="C48" t="s">
        <v>113</v>
      </c>
      <c r="D48" t="s">
        <v>29</v>
      </c>
      <c r="E48" t="s">
        <v>84</v>
      </c>
      <c r="F48" t="s">
        <v>114</v>
      </c>
      <c r="G48" t="s">
        <v>208</v>
      </c>
      <c r="H48" t="s">
        <v>209</v>
      </c>
      <c r="I48" t="s">
        <v>65</v>
      </c>
      <c r="J48">
        <v>9</v>
      </c>
      <c r="K48">
        <v>92000</v>
      </c>
      <c r="L48">
        <v>0</v>
      </c>
      <c r="M48">
        <v>828000</v>
      </c>
      <c r="N48" t="s">
        <v>86</v>
      </c>
      <c r="O48" t="s">
        <v>46</v>
      </c>
      <c r="P48" t="s">
        <v>61</v>
      </c>
      <c r="Q48">
        <v>8</v>
      </c>
      <c r="R48" t="s">
        <v>588</v>
      </c>
      <c r="S48" t="s">
        <v>586</v>
      </c>
    </row>
    <row r="49" spans="1:19" x14ac:dyDescent="0.3">
      <c r="A49" t="s">
        <v>487</v>
      </c>
      <c r="B49" s="2">
        <v>45939</v>
      </c>
      <c r="C49" t="s">
        <v>17</v>
      </c>
      <c r="D49" t="s">
        <v>18</v>
      </c>
      <c r="E49" t="s">
        <v>19</v>
      </c>
      <c r="F49" t="s">
        <v>20</v>
      </c>
      <c r="G49" t="s">
        <v>109</v>
      </c>
      <c r="H49" t="s">
        <v>32</v>
      </c>
      <c r="I49" t="s">
        <v>44</v>
      </c>
      <c r="J49">
        <v>10</v>
      </c>
      <c r="K49">
        <v>148000</v>
      </c>
      <c r="L49">
        <v>0.1</v>
      </c>
      <c r="M49">
        <v>1332000</v>
      </c>
      <c r="N49" t="s">
        <v>94</v>
      </c>
      <c r="O49" t="s">
        <v>46</v>
      </c>
      <c r="P49" t="s">
        <v>61</v>
      </c>
      <c r="Q49">
        <v>10</v>
      </c>
      <c r="R49" t="s">
        <v>593</v>
      </c>
      <c r="S49" t="s">
        <v>578</v>
      </c>
    </row>
    <row r="50" spans="1:19" x14ac:dyDescent="0.3">
      <c r="A50" t="s">
        <v>404</v>
      </c>
      <c r="B50" s="2">
        <v>45681</v>
      </c>
      <c r="C50" t="s">
        <v>135</v>
      </c>
      <c r="D50" t="s">
        <v>50</v>
      </c>
      <c r="E50" t="s">
        <v>107</v>
      </c>
      <c r="F50" t="s">
        <v>108</v>
      </c>
      <c r="G50" t="s">
        <v>109</v>
      </c>
      <c r="H50" t="s">
        <v>32</v>
      </c>
      <c r="I50" t="s">
        <v>44</v>
      </c>
      <c r="J50">
        <v>15</v>
      </c>
      <c r="K50">
        <v>149000</v>
      </c>
      <c r="L50">
        <v>0</v>
      </c>
      <c r="M50">
        <v>2235000</v>
      </c>
      <c r="N50" t="s">
        <v>35</v>
      </c>
      <c r="O50" t="s">
        <v>36</v>
      </c>
      <c r="P50" t="s">
        <v>61</v>
      </c>
      <c r="Q50">
        <v>1</v>
      </c>
      <c r="R50" t="s">
        <v>587</v>
      </c>
      <c r="S50" t="s">
        <v>580</v>
      </c>
    </row>
    <row r="51" spans="1:19" x14ac:dyDescent="0.3">
      <c r="A51" t="s">
        <v>411</v>
      </c>
      <c r="B51" s="2">
        <v>46001</v>
      </c>
      <c r="C51" t="s">
        <v>130</v>
      </c>
      <c r="D51" t="s">
        <v>131</v>
      </c>
      <c r="E51" t="s">
        <v>19</v>
      </c>
      <c r="F51" t="s">
        <v>20</v>
      </c>
      <c r="G51" t="s">
        <v>109</v>
      </c>
      <c r="H51" t="s">
        <v>32</v>
      </c>
      <c r="I51" t="s">
        <v>44</v>
      </c>
      <c r="J51">
        <v>13</v>
      </c>
      <c r="K51">
        <v>135000</v>
      </c>
      <c r="L51">
        <v>0.1</v>
      </c>
      <c r="M51">
        <v>1579500</v>
      </c>
      <c r="N51" t="s">
        <v>35</v>
      </c>
      <c r="O51" t="s">
        <v>36</v>
      </c>
      <c r="P51" t="s">
        <v>87</v>
      </c>
      <c r="Q51">
        <v>12</v>
      </c>
      <c r="R51" t="s">
        <v>590</v>
      </c>
      <c r="S51" t="s">
        <v>578</v>
      </c>
    </row>
    <row r="52" spans="1:19" x14ac:dyDescent="0.3">
      <c r="A52" t="s">
        <v>296</v>
      </c>
      <c r="B52" s="2">
        <v>45743</v>
      </c>
      <c r="C52" t="s">
        <v>117</v>
      </c>
      <c r="D52" t="s">
        <v>68</v>
      </c>
      <c r="E52" t="s">
        <v>123</v>
      </c>
      <c r="F52" t="s">
        <v>225</v>
      </c>
      <c r="G52" t="s">
        <v>208</v>
      </c>
      <c r="H52" t="s">
        <v>209</v>
      </c>
      <c r="I52" t="s">
        <v>65</v>
      </c>
      <c r="J52">
        <v>1</v>
      </c>
      <c r="K52">
        <v>108000</v>
      </c>
      <c r="L52">
        <v>0</v>
      </c>
      <c r="M52">
        <v>-108000</v>
      </c>
      <c r="N52" t="s">
        <v>53</v>
      </c>
      <c r="O52" t="s">
        <v>95</v>
      </c>
      <c r="P52" t="s">
        <v>183</v>
      </c>
      <c r="Q52">
        <v>3</v>
      </c>
      <c r="R52" t="s">
        <v>592</v>
      </c>
      <c r="S52" t="s">
        <v>580</v>
      </c>
    </row>
    <row r="53" spans="1:19" x14ac:dyDescent="0.3">
      <c r="A53" t="s">
        <v>406</v>
      </c>
      <c r="B53" s="2">
        <v>46002</v>
      </c>
      <c r="C53" t="s">
        <v>28</v>
      </c>
      <c r="D53" t="s">
        <v>29</v>
      </c>
      <c r="E53" t="s">
        <v>30</v>
      </c>
      <c r="F53" t="s">
        <v>20</v>
      </c>
      <c r="G53" t="s">
        <v>125</v>
      </c>
      <c r="H53" t="s">
        <v>32</v>
      </c>
      <c r="I53" t="s">
        <v>52</v>
      </c>
      <c r="J53">
        <v>3</v>
      </c>
      <c r="K53">
        <v>381000</v>
      </c>
      <c r="L53">
        <v>0</v>
      </c>
      <c r="M53">
        <v>1143000</v>
      </c>
      <c r="N53" t="s">
        <v>86</v>
      </c>
      <c r="O53" t="s">
        <v>25</v>
      </c>
      <c r="P53" t="s">
        <v>87</v>
      </c>
      <c r="Q53">
        <v>12</v>
      </c>
      <c r="R53" t="s">
        <v>590</v>
      </c>
      <c r="S53" t="s">
        <v>578</v>
      </c>
    </row>
    <row r="54" spans="1:19" x14ac:dyDescent="0.3">
      <c r="A54" t="s">
        <v>153</v>
      </c>
      <c r="B54" s="2">
        <v>45773</v>
      </c>
      <c r="C54" t="s">
        <v>154</v>
      </c>
      <c r="D54" t="s">
        <v>131</v>
      </c>
      <c r="E54" t="s">
        <v>19</v>
      </c>
      <c r="F54" t="s">
        <v>20</v>
      </c>
      <c r="G54" t="s">
        <v>235</v>
      </c>
      <c r="H54" t="s">
        <v>101</v>
      </c>
      <c r="I54" t="s">
        <v>156</v>
      </c>
      <c r="J54">
        <v>6</v>
      </c>
      <c r="K54">
        <v>204000</v>
      </c>
      <c r="L54">
        <v>0.02</v>
      </c>
      <c r="M54">
        <v>1199520</v>
      </c>
      <c r="N54" t="s">
        <v>35</v>
      </c>
      <c r="O54" t="s">
        <v>75</v>
      </c>
      <c r="P54" t="s">
        <v>61</v>
      </c>
      <c r="Q54">
        <v>4</v>
      </c>
      <c r="R54" t="s">
        <v>582</v>
      </c>
      <c r="S54" t="s">
        <v>583</v>
      </c>
    </row>
    <row r="55" spans="1:19" x14ac:dyDescent="0.3">
      <c r="A55" t="s">
        <v>206</v>
      </c>
      <c r="B55" s="2">
        <v>45997</v>
      </c>
      <c r="C55" t="s">
        <v>154</v>
      </c>
      <c r="D55" t="s">
        <v>131</v>
      </c>
      <c r="E55" t="s">
        <v>19</v>
      </c>
      <c r="F55" t="s">
        <v>20</v>
      </c>
      <c r="G55" t="s">
        <v>64</v>
      </c>
      <c r="H55" t="s">
        <v>32</v>
      </c>
      <c r="I55" t="s">
        <v>65</v>
      </c>
      <c r="J55">
        <v>6</v>
      </c>
      <c r="K55">
        <v>583000</v>
      </c>
      <c r="L55">
        <v>0.02</v>
      </c>
      <c r="M55">
        <v>3428040</v>
      </c>
      <c r="N55" t="s">
        <v>53</v>
      </c>
      <c r="O55" t="s">
        <v>145</v>
      </c>
      <c r="P55" t="s">
        <v>61</v>
      </c>
      <c r="Q55">
        <v>12</v>
      </c>
      <c r="R55" t="s">
        <v>590</v>
      </c>
      <c r="S55" t="s">
        <v>578</v>
      </c>
    </row>
    <row r="56" spans="1:19" x14ac:dyDescent="0.3">
      <c r="A56" t="s">
        <v>280</v>
      </c>
      <c r="B56" s="2">
        <v>45988</v>
      </c>
      <c r="C56" t="s">
        <v>106</v>
      </c>
      <c r="D56" t="s">
        <v>50</v>
      </c>
      <c r="E56" t="s">
        <v>107</v>
      </c>
      <c r="F56" t="s">
        <v>108</v>
      </c>
      <c r="G56" t="s">
        <v>64</v>
      </c>
      <c r="H56" t="s">
        <v>32</v>
      </c>
      <c r="I56" t="s">
        <v>65</v>
      </c>
      <c r="J56">
        <v>11</v>
      </c>
      <c r="K56">
        <v>542000</v>
      </c>
      <c r="L56">
        <v>0.1</v>
      </c>
      <c r="M56">
        <v>5365800</v>
      </c>
      <c r="N56" t="s">
        <v>86</v>
      </c>
      <c r="O56" t="s">
        <v>60</v>
      </c>
      <c r="P56" t="s">
        <v>61</v>
      </c>
      <c r="Q56">
        <v>11</v>
      </c>
      <c r="R56" t="s">
        <v>577</v>
      </c>
      <c r="S56" t="s">
        <v>578</v>
      </c>
    </row>
    <row r="57" spans="1:19" x14ac:dyDescent="0.3">
      <c r="A57" t="s">
        <v>223</v>
      </c>
      <c r="B57" s="2">
        <v>45793</v>
      </c>
      <c r="C57" t="s">
        <v>117</v>
      </c>
      <c r="D57" t="s">
        <v>68</v>
      </c>
      <c r="E57" t="s">
        <v>123</v>
      </c>
      <c r="F57" t="s">
        <v>225</v>
      </c>
      <c r="G57" t="s">
        <v>125</v>
      </c>
      <c r="H57" t="s">
        <v>32</v>
      </c>
      <c r="I57" t="s">
        <v>52</v>
      </c>
      <c r="J57">
        <v>1</v>
      </c>
      <c r="K57">
        <v>395000</v>
      </c>
      <c r="L57">
        <v>0</v>
      </c>
      <c r="M57">
        <v>0</v>
      </c>
      <c r="N57" t="s">
        <v>94</v>
      </c>
      <c r="O57" t="s">
        <v>145</v>
      </c>
      <c r="P57" t="s">
        <v>26</v>
      </c>
      <c r="Q57">
        <v>5</v>
      </c>
      <c r="R57" t="s">
        <v>584</v>
      </c>
      <c r="S57" t="s">
        <v>583</v>
      </c>
    </row>
    <row r="58" spans="1:19" x14ac:dyDescent="0.3">
      <c r="A58" t="s">
        <v>414</v>
      </c>
      <c r="B58" s="2">
        <v>45820</v>
      </c>
      <c r="C58" t="s">
        <v>56</v>
      </c>
      <c r="D58" t="s">
        <v>18</v>
      </c>
      <c r="E58" t="s">
        <v>42</v>
      </c>
      <c r="F58" t="s">
        <v>42</v>
      </c>
      <c r="G58" t="s">
        <v>341</v>
      </c>
      <c r="H58" t="s">
        <v>101</v>
      </c>
      <c r="I58" t="s">
        <v>102</v>
      </c>
      <c r="J58">
        <v>2</v>
      </c>
      <c r="K58">
        <v>108000</v>
      </c>
      <c r="L58">
        <v>0.05</v>
      </c>
      <c r="M58">
        <v>0</v>
      </c>
      <c r="N58" t="s">
        <v>35</v>
      </c>
      <c r="O58" t="s">
        <v>175</v>
      </c>
      <c r="P58" t="s">
        <v>26</v>
      </c>
      <c r="Q58">
        <v>6</v>
      </c>
      <c r="R58" t="s">
        <v>589</v>
      </c>
      <c r="S58" t="s">
        <v>583</v>
      </c>
    </row>
    <row r="59" spans="1:19" x14ac:dyDescent="0.3">
      <c r="A59" t="s">
        <v>495</v>
      </c>
      <c r="B59" s="2">
        <v>45682</v>
      </c>
      <c r="C59" t="s">
        <v>56</v>
      </c>
      <c r="D59" t="s">
        <v>18</v>
      </c>
      <c r="E59" t="s">
        <v>42</v>
      </c>
      <c r="F59" t="s">
        <v>42</v>
      </c>
      <c r="G59" t="s">
        <v>295</v>
      </c>
      <c r="H59" t="s">
        <v>32</v>
      </c>
      <c r="I59" t="s">
        <v>58</v>
      </c>
      <c r="J59">
        <v>9</v>
      </c>
      <c r="K59">
        <v>392000</v>
      </c>
      <c r="L59">
        <v>0.1</v>
      </c>
      <c r="M59">
        <v>-3175200</v>
      </c>
      <c r="N59" t="s">
        <v>35</v>
      </c>
      <c r="O59" t="s">
        <v>145</v>
      </c>
      <c r="P59" t="s">
        <v>183</v>
      </c>
      <c r="Q59">
        <v>1</v>
      </c>
      <c r="R59" t="s">
        <v>587</v>
      </c>
      <c r="S59" t="s">
        <v>580</v>
      </c>
    </row>
    <row r="60" spans="1:19" x14ac:dyDescent="0.3">
      <c r="A60" t="s">
        <v>446</v>
      </c>
      <c r="B60" s="2">
        <v>45880</v>
      </c>
      <c r="C60" t="s">
        <v>82</v>
      </c>
      <c r="D60" t="s">
        <v>83</v>
      </c>
      <c r="E60" t="s">
        <v>84</v>
      </c>
      <c r="F60" t="s">
        <v>114</v>
      </c>
      <c r="G60" t="s">
        <v>144</v>
      </c>
      <c r="H60" t="s">
        <v>32</v>
      </c>
      <c r="I60" t="s">
        <v>44</v>
      </c>
      <c r="J60">
        <v>10</v>
      </c>
      <c r="K60">
        <v>214000</v>
      </c>
      <c r="L60">
        <v>0.02</v>
      </c>
      <c r="M60">
        <v>-2097200</v>
      </c>
      <c r="N60" t="s">
        <v>86</v>
      </c>
      <c r="O60" t="s">
        <v>175</v>
      </c>
      <c r="P60" t="s">
        <v>183</v>
      </c>
      <c r="Q60">
        <v>8</v>
      </c>
      <c r="R60" t="s">
        <v>588</v>
      </c>
      <c r="S60" t="s">
        <v>586</v>
      </c>
    </row>
    <row r="61" spans="1:19" x14ac:dyDescent="0.3">
      <c r="A61" t="s">
        <v>363</v>
      </c>
      <c r="B61" s="2">
        <v>45919</v>
      </c>
      <c r="C61" t="s">
        <v>135</v>
      </c>
      <c r="D61" t="s">
        <v>50</v>
      </c>
      <c r="E61" t="s">
        <v>107</v>
      </c>
      <c r="F61" t="s">
        <v>108</v>
      </c>
      <c r="G61" t="s">
        <v>208</v>
      </c>
      <c r="H61" t="s">
        <v>209</v>
      </c>
      <c r="I61" t="s">
        <v>65</v>
      </c>
      <c r="J61">
        <v>6</v>
      </c>
      <c r="K61">
        <v>92000</v>
      </c>
      <c r="L61">
        <v>0.05</v>
      </c>
      <c r="M61">
        <v>-524400</v>
      </c>
      <c r="N61" t="s">
        <v>53</v>
      </c>
      <c r="O61" t="s">
        <v>46</v>
      </c>
      <c r="P61" t="s">
        <v>183</v>
      </c>
      <c r="Q61">
        <v>9</v>
      </c>
      <c r="R61" t="s">
        <v>591</v>
      </c>
      <c r="S61" t="s">
        <v>586</v>
      </c>
    </row>
    <row r="62" spans="1:19" x14ac:dyDescent="0.3">
      <c r="A62" t="s">
        <v>349</v>
      </c>
      <c r="B62" s="2">
        <v>45758</v>
      </c>
      <c r="C62" t="s">
        <v>56</v>
      </c>
      <c r="D62" t="s">
        <v>18</v>
      </c>
      <c r="E62" t="s">
        <v>42</v>
      </c>
      <c r="F62" t="s">
        <v>42</v>
      </c>
      <c r="G62" t="s">
        <v>64</v>
      </c>
      <c r="H62" t="s">
        <v>32</v>
      </c>
      <c r="I62" t="s">
        <v>65</v>
      </c>
      <c r="J62">
        <v>11</v>
      </c>
      <c r="K62">
        <v>512000</v>
      </c>
      <c r="L62">
        <v>0</v>
      </c>
      <c r="M62">
        <v>0</v>
      </c>
      <c r="N62" t="s">
        <v>53</v>
      </c>
      <c r="O62" t="s">
        <v>95</v>
      </c>
      <c r="P62" t="s">
        <v>26</v>
      </c>
      <c r="Q62">
        <v>4</v>
      </c>
      <c r="R62" t="s">
        <v>582</v>
      </c>
      <c r="S62" t="s">
        <v>583</v>
      </c>
    </row>
    <row r="63" spans="1:19" x14ac:dyDescent="0.3">
      <c r="A63" t="s">
        <v>219</v>
      </c>
      <c r="B63" s="2">
        <v>45940</v>
      </c>
      <c r="C63" t="s">
        <v>49</v>
      </c>
      <c r="D63" t="s">
        <v>50</v>
      </c>
      <c r="E63" t="s">
        <v>19</v>
      </c>
      <c r="F63" t="s">
        <v>20</v>
      </c>
      <c r="G63" t="s">
        <v>137</v>
      </c>
      <c r="H63" t="s">
        <v>138</v>
      </c>
      <c r="I63" t="s">
        <v>138</v>
      </c>
      <c r="J63">
        <v>5</v>
      </c>
      <c r="K63">
        <v>27000</v>
      </c>
      <c r="L63">
        <v>0</v>
      </c>
      <c r="M63">
        <v>135000</v>
      </c>
      <c r="N63" t="s">
        <v>53</v>
      </c>
      <c r="O63" t="s">
        <v>25</v>
      </c>
      <c r="P63" t="s">
        <v>87</v>
      </c>
      <c r="Q63">
        <v>10</v>
      </c>
      <c r="R63" t="s">
        <v>593</v>
      </c>
      <c r="S63" t="s">
        <v>578</v>
      </c>
    </row>
    <row r="64" spans="1:19" x14ac:dyDescent="0.3">
      <c r="A64" t="s">
        <v>274</v>
      </c>
      <c r="B64" s="2">
        <v>45886</v>
      </c>
      <c r="C64" t="s">
        <v>67</v>
      </c>
      <c r="D64" t="s">
        <v>68</v>
      </c>
      <c r="E64" t="s">
        <v>69</v>
      </c>
      <c r="F64" t="s">
        <v>70</v>
      </c>
      <c r="G64" t="s">
        <v>21</v>
      </c>
      <c r="H64" t="s">
        <v>22</v>
      </c>
      <c r="I64" t="s">
        <v>23</v>
      </c>
      <c r="J64">
        <v>9</v>
      </c>
      <c r="K64">
        <v>20000</v>
      </c>
      <c r="L64">
        <v>0.05</v>
      </c>
      <c r="M64">
        <v>-171000</v>
      </c>
      <c r="N64" t="s">
        <v>35</v>
      </c>
      <c r="O64" t="s">
        <v>60</v>
      </c>
      <c r="P64" t="s">
        <v>183</v>
      </c>
      <c r="Q64">
        <v>8</v>
      </c>
      <c r="R64" t="s">
        <v>588</v>
      </c>
      <c r="S64" t="s">
        <v>586</v>
      </c>
    </row>
    <row r="65" spans="1:19" x14ac:dyDescent="0.3">
      <c r="A65" t="s">
        <v>227</v>
      </c>
      <c r="B65" s="2">
        <v>45805</v>
      </c>
      <c r="C65" t="s">
        <v>106</v>
      </c>
      <c r="D65" t="s">
        <v>50</v>
      </c>
      <c r="E65" t="s">
        <v>107</v>
      </c>
      <c r="F65" t="s">
        <v>108</v>
      </c>
      <c r="G65" t="s">
        <v>144</v>
      </c>
      <c r="H65" t="s">
        <v>32</v>
      </c>
      <c r="I65" t="s">
        <v>44</v>
      </c>
      <c r="J65">
        <v>2</v>
      </c>
      <c r="K65">
        <v>234000</v>
      </c>
      <c r="L65">
        <v>0</v>
      </c>
      <c r="M65">
        <v>-468000</v>
      </c>
      <c r="N65" t="s">
        <v>53</v>
      </c>
      <c r="O65" t="s">
        <v>36</v>
      </c>
      <c r="P65" t="s">
        <v>183</v>
      </c>
      <c r="Q65">
        <v>5</v>
      </c>
      <c r="R65" t="s">
        <v>584</v>
      </c>
      <c r="S65" t="s">
        <v>583</v>
      </c>
    </row>
    <row r="66" spans="1:19" x14ac:dyDescent="0.3">
      <c r="A66" t="s">
        <v>449</v>
      </c>
      <c r="B66" s="2">
        <v>45761</v>
      </c>
      <c r="C66" t="s">
        <v>63</v>
      </c>
      <c r="D66" t="s">
        <v>18</v>
      </c>
      <c r="E66" t="s">
        <v>42</v>
      </c>
      <c r="F66" t="s">
        <v>42</v>
      </c>
      <c r="G66" t="s">
        <v>295</v>
      </c>
      <c r="H66" t="s">
        <v>32</v>
      </c>
      <c r="I66" t="s">
        <v>58</v>
      </c>
      <c r="J66">
        <v>1</v>
      </c>
      <c r="K66">
        <v>401000</v>
      </c>
      <c r="L66">
        <v>0</v>
      </c>
      <c r="M66">
        <v>401000</v>
      </c>
      <c r="N66" t="s">
        <v>86</v>
      </c>
      <c r="O66" t="s">
        <v>25</v>
      </c>
      <c r="P66" t="s">
        <v>87</v>
      </c>
      <c r="Q66">
        <v>4</v>
      </c>
      <c r="R66" t="s">
        <v>582</v>
      </c>
      <c r="S66" t="s">
        <v>583</v>
      </c>
    </row>
    <row r="67" spans="1:19" x14ac:dyDescent="0.3">
      <c r="A67" t="s">
        <v>347</v>
      </c>
      <c r="B67" s="2">
        <v>45872</v>
      </c>
      <c r="C67" t="s">
        <v>214</v>
      </c>
      <c r="D67" t="s">
        <v>102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>
        <v>12</v>
      </c>
      <c r="K67">
        <v>18000</v>
      </c>
      <c r="L67">
        <v>0.05</v>
      </c>
      <c r="M67">
        <v>205200</v>
      </c>
      <c r="N67" t="s">
        <v>94</v>
      </c>
      <c r="O67" t="s">
        <v>36</v>
      </c>
      <c r="P67" t="s">
        <v>87</v>
      </c>
      <c r="Q67">
        <v>8</v>
      </c>
      <c r="R67" t="s">
        <v>588</v>
      </c>
      <c r="S67" t="s">
        <v>586</v>
      </c>
    </row>
    <row r="68" spans="1:19" x14ac:dyDescent="0.3">
      <c r="A68" t="s">
        <v>239</v>
      </c>
      <c r="B68" s="2">
        <v>45735</v>
      </c>
      <c r="C68" t="s">
        <v>49</v>
      </c>
      <c r="D68" t="s">
        <v>50</v>
      </c>
      <c r="E68" t="s">
        <v>19</v>
      </c>
      <c r="F68" t="s">
        <v>20</v>
      </c>
      <c r="G68" t="s">
        <v>71</v>
      </c>
      <c r="H68" t="s">
        <v>32</v>
      </c>
      <c r="I68" t="s">
        <v>33</v>
      </c>
      <c r="J68">
        <v>13</v>
      </c>
      <c r="K68">
        <v>285000</v>
      </c>
      <c r="L68">
        <v>0.05</v>
      </c>
      <c r="M68">
        <v>3519750</v>
      </c>
      <c r="N68" t="s">
        <v>35</v>
      </c>
      <c r="O68" t="s">
        <v>25</v>
      </c>
      <c r="P68" t="s">
        <v>61</v>
      </c>
      <c r="Q68">
        <v>3</v>
      </c>
      <c r="R68" t="s">
        <v>592</v>
      </c>
      <c r="S68" t="s">
        <v>580</v>
      </c>
    </row>
    <row r="69" spans="1:19" x14ac:dyDescent="0.3">
      <c r="A69" t="s">
        <v>397</v>
      </c>
      <c r="B69" s="2">
        <v>45685</v>
      </c>
      <c r="C69" t="s">
        <v>113</v>
      </c>
      <c r="D69" t="s">
        <v>29</v>
      </c>
      <c r="E69" t="s">
        <v>84</v>
      </c>
      <c r="F69" t="s">
        <v>114</v>
      </c>
      <c r="G69" t="s">
        <v>169</v>
      </c>
      <c r="H69" t="s">
        <v>22</v>
      </c>
      <c r="I69" t="s">
        <v>23</v>
      </c>
      <c r="J69">
        <v>15</v>
      </c>
      <c r="K69">
        <v>46000</v>
      </c>
      <c r="L69">
        <v>0</v>
      </c>
      <c r="M69">
        <v>690000</v>
      </c>
      <c r="N69" t="s">
        <v>35</v>
      </c>
      <c r="O69" t="s">
        <v>25</v>
      </c>
      <c r="P69" t="s">
        <v>87</v>
      </c>
      <c r="Q69">
        <v>1</v>
      </c>
      <c r="R69" t="s">
        <v>587</v>
      </c>
      <c r="S69" t="s">
        <v>580</v>
      </c>
    </row>
    <row r="70" spans="1:19" x14ac:dyDescent="0.3">
      <c r="A70" t="s">
        <v>474</v>
      </c>
      <c r="B70" s="2">
        <v>46001</v>
      </c>
      <c r="C70" t="s">
        <v>106</v>
      </c>
      <c r="D70" t="s">
        <v>50</v>
      </c>
      <c r="E70" t="s">
        <v>107</v>
      </c>
      <c r="F70" t="s">
        <v>108</v>
      </c>
      <c r="G70" t="s">
        <v>178</v>
      </c>
      <c r="H70" t="s">
        <v>101</v>
      </c>
      <c r="I70" t="s">
        <v>179</v>
      </c>
      <c r="J70">
        <v>10</v>
      </c>
      <c r="K70">
        <v>86000</v>
      </c>
      <c r="L70">
        <v>0.02</v>
      </c>
      <c r="M70">
        <v>842800</v>
      </c>
      <c r="N70" t="s">
        <v>94</v>
      </c>
      <c r="O70" t="s">
        <v>25</v>
      </c>
      <c r="P70" t="s">
        <v>87</v>
      </c>
      <c r="Q70">
        <v>12</v>
      </c>
      <c r="R70" t="s">
        <v>590</v>
      </c>
      <c r="S70" t="s">
        <v>578</v>
      </c>
    </row>
    <row r="71" spans="1:19" x14ac:dyDescent="0.3">
      <c r="A71" t="s">
        <v>451</v>
      </c>
      <c r="B71" s="2">
        <v>45741</v>
      </c>
      <c r="C71" t="s">
        <v>287</v>
      </c>
      <c r="D71" t="s">
        <v>22</v>
      </c>
      <c r="E71" t="s">
        <v>19</v>
      </c>
      <c r="F71" t="s">
        <v>20</v>
      </c>
      <c r="G71" t="s">
        <v>235</v>
      </c>
      <c r="H71" t="s">
        <v>101</v>
      </c>
      <c r="I71" t="s">
        <v>156</v>
      </c>
      <c r="J71">
        <v>5</v>
      </c>
      <c r="K71">
        <v>206000</v>
      </c>
      <c r="L71">
        <v>0</v>
      </c>
      <c r="M71">
        <v>-1030000</v>
      </c>
      <c r="N71" t="s">
        <v>53</v>
      </c>
      <c r="O71" t="s">
        <v>25</v>
      </c>
      <c r="P71" t="s">
        <v>183</v>
      </c>
      <c r="Q71">
        <v>3</v>
      </c>
      <c r="R71" t="s">
        <v>592</v>
      </c>
      <c r="S71" t="s">
        <v>580</v>
      </c>
    </row>
    <row r="72" spans="1:19" x14ac:dyDescent="0.3">
      <c r="A72" t="s">
        <v>436</v>
      </c>
      <c r="B72" s="2">
        <v>45980</v>
      </c>
      <c r="C72" t="s">
        <v>28</v>
      </c>
      <c r="D72" t="s">
        <v>29</v>
      </c>
      <c r="E72" t="s">
        <v>30</v>
      </c>
      <c r="F72" t="s">
        <v>20</v>
      </c>
      <c r="G72" t="s">
        <v>125</v>
      </c>
      <c r="H72" t="s">
        <v>32</v>
      </c>
      <c r="I72" t="s">
        <v>52</v>
      </c>
      <c r="J72">
        <v>8</v>
      </c>
      <c r="K72">
        <v>381000</v>
      </c>
      <c r="L72">
        <v>0</v>
      </c>
      <c r="M72">
        <v>-3048000</v>
      </c>
      <c r="N72" t="s">
        <v>53</v>
      </c>
      <c r="O72" t="s">
        <v>36</v>
      </c>
      <c r="P72" t="s">
        <v>183</v>
      </c>
      <c r="Q72">
        <v>11</v>
      </c>
      <c r="R72" t="s">
        <v>577</v>
      </c>
      <c r="S72" t="s">
        <v>578</v>
      </c>
    </row>
    <row r="73" spans="1:19" x14ac:dyDescent="0.3">
      <c r="A73" t="s">
        <v>38</v>
      </c>
      <c r="B73" s="2">
        <v>45799</v>
      </c>
      <c r="C73" t="s">
        <v>39</v>
      </c>
      <c r="D73" t="s">
        <v>40</v>
      </c>
      <c r="E73" t="s">
        <v>42</v>
      </c>
      <c r="F73" t="s">
        <v>42</v>
      </c>
      <c r="G73" t="s">
        <v>144</v>
      </c>
      <c r="H73" t="s">
        <v>32</v>
      </c>
      <c r="I73" t="s">
        <v>44</v>
      </c>
      <c r="J73">
        <v>15</v>
      </c>
      <c r="K73">
        <v>224000</v>
      </c>
      <c r="L73">
        <v>0.1</v>
      </c>
      <c r="M73">
        <v>3024000</v>
      </c>
      <c r="N73" t="s">
        <v>35</v>
      </c>
      <c r="O73" t="s">
        <v>46</v>
      </c>
      <c r="P73" t="s">
        <v>61</v>
      </c>
      <c r="Q73">
        <v>5</v>
      </c>
      <c r="R73" t="s">
        <v>584</v>
      </c>
      <c r="S73" t="s">
        <v>583</v>
      </c>
    </row>
    <row r="74" spans="1:19" x14ac:dyDescent="0.3">
      <c r="A74" t="s">
        <v>88</v>
      </c>
      <c r="B74" s="2">
        <v>45778</v>
      </c>
      <c r="C74" t="s">
        <v>89</v>
      </c>
      <c r="D74" t="s">
        <v>90</v>
      </c>
      <c r="E74" t="s">
        <v>19</v>
      </c>
      <c r="F74" t="s">
        <v>20</v>
      </c>
      <c r="G74" t="s">
        <v>128</v>
      </c>
      <c r="H74" t="s">
        <v>22</v>
      </c>
      <c r="I74" t="s">
        <v>92</v>
      </c>
      <c r="J74">
        <v>12</v>
      </c>
      <c r="K74">
        <v>172000</v>
      </c>
      <c r="L74">
        <v>0</v>
      </c>
      <c r="M74">
        <v>2064000</v>
      </c>
      <c r="N74" t="s">
        <v>94</v>
      </c>
      <c r="O74" t="s">
        <v>95</v>
      </c>
      <c r="P74" t="s">
        <v>61</v>
      </c>
      <c r="Q74">
        <v>5</v>
      </c>
      <c r="R74" t="s">
        <v>584</v>
      </c>
      <c r="S74" t="s">
        <v>583</v>
      </c>
    </row>
    <row r="75" spans="1:19" x14ac:dyDescent="0.3">
      <c r="A75" t="s">
        <v>486</v>
      </c>
      <c r="B75" s="2">
        <v>45829</v>
      </c>
      <c r="C75" t="s">
        <v>113</v>
      </c>
      <c r="D75" t="s">
        <v>29</v>
      </c>
      <c r="E75" t="s">
        <v>84</v>
      </c>
      <c r="F75" t="s">
        <v>114</v>
      </c>
      <c r="G75" t="s">
        <v>235</v>
      </c>
      <c r="H75" t="s">
        <v>101</v>
      </c>
      <c r="I75" t="s">
        <v>156</v>
      </c>
      <c r="J75">
        <v>7</v>
      </c>
      <c r="K75">
        <v>198000</v>
      </c>
      <c r="L75">
        <v>0</v>
      </c>
      <c r="M75">
        <v>1386000</v>
      </c>
      <c r="N75" t="s">
        <v>94</v>
      </c>
      <c r="O75" t="s">
        <v>95</v>
      </c>
      <c r="P75" t="s">
        <v>61</v>
      </c>
      <c r="Q75">
        <v>6</v>
      </c>
      <c r="R75" t="s">
        <v>589</v>
      </c>
      <c r="S75" t="s">
        <v>583</v>
      </c>
    </row>
    <row r="76" spans="1:19" x14ac:dyDescent="0.3">
      <c r="A76" t="s">
        <v>377</v>
      </c>
      <c r="B76" s="2">
        <v>45959</v>
      </c>
      <c r="C76" t="s">
        <v>49</v>
      </c>
      <c r="D76" t="s">
        <v>50</v>
      </c>
      <c r="E76" t="s">
        <v>19</v>
      </c>
      <c r="F76" t="s">
        <v>20</v>
      </c>
      <c r="G76" t="s">
        <v>64</v>
      </c>
      <c r="H76" t="s">
        <v>32</v>
      </c>
      <c r="I76" t="s">
        <v>65</v>
      </c>
      <c r="J76">
        <v>8</v>
      </c>
      <c r="K76">
        <v>557000</v>
      </c>
      <c r="L76">
        <v>0</v>
      </c>
      <c r="M76">
        <v>4456000</v>
      </c>
      <c r="N76" t="s">
        <v>53</v>
      </c>
      <c r="O76" t="s">
        <v>95</v>
      </c>
      <c r="P76" t="s">
        <v>61</v>
      </c>
      <c r="Q76">
        <v>10</v>
      </c>
      <c r="R76" t="s">
        <v>593</v>
      </c>
      <c r="S76" t="s">
        <v>578</v>
      </c>
    </row>
    <row r="77" spans="1:19" x14ac:dyDescent="0.3">
      <c r="A77" t="s">
        <v>448</v>
      </c>
      <c r="B77" s="2">
        <v>45874</v>
      </c>
      <c r="C77" t="s">
        <v>113</v>
      </c>
      <c r="D77" t="s">
        <v>29</v>
      </c>
      <c r="E77" t="s">
        <v>84</v>
      </c>
      <c r="F77" t="s">
        <v>114</v>
      </c>
      <c r="G77" t="s">
        <v>178</v>
      </c>
      <c r="H77" t="s">
        <v>101</v>
      </c>
      <c r="I77" t="s">
        <v>179</v>
      </c>
      <c r="J77">
        <v>13</v>
      </c>
      <c r="K77">
        <v>102000</v>
      </c>
      <c r="L77">
        <v>0.1</v>
      </c>
      <c r="M77">
        <v>1193400</v>
      </c>
      <c r="N77" t="s">
        <v>94</v>
      </c>
      <c r="O77" t="s">
        <v>36</v>
      </c>
      <c r="P77" t="s">
        <v>61</v>
      </c>
      <c r="Q77">
        <v>8</v>
      </c>
      <c r="R77" t="s">
        <v>588</v>
      </c>
      <c r="S77" t="s">
        <v>586</v>
      </c>
    </row>
    <row r="78" spans="1:19" x14ac:dyDescent="0.3">
      <c r="A78" t="s">
        <v>454</v>
      </c>
      <c r="B78" s="2">
        <v>45799</v>
      </c>
      <c r="C78" t="s">
        <v>56</v>
      </c>
      <c r="D78" t="s">
        <v>18</v>
      </c>
      <c r="E78" t="s">
        <v>42</v>
      </c>
      <c r="F78" t="s">
        <v>42</v>
      </c>
      <c r="G78" t="s">
        <v>204</v>
      </c>
      <c r="H78" t="s">
        <v>101</v>
      </c>
      <c r="I78" t="s">
        <v>156</v>
      </c>
      <c r="J78">
        <v>1</v>
      </c>
      <c r="K78">
        <v>163000</v>
      </c>
      <c r="L78">
        <v>0.05</v>
      </c>
      <c r="M78">
        <v>154850</v>
      </c>
      <c r="N78" t="s">
        <v>94</v>
      </c>
      <c r="O78" t="s">
        <v>46</v>
      </c>
      <c r="P78" t="s">
        <v>61</v>
      </c>
      <c r="Q78">
        <v>5</v>
      </c>
      <c r="R78" t="s">
        <v>584</v>
      </c>
      <c r="S78" t="s">
        <v>583</v>
      </c>
    </row>
    <row r="79" spans="1:19" x14ac:dyDescent="0.3">
      <c r="A79" t="s">
        <v>330</v>
      </c>
      <c r="B79" s="2">
        <v>45899</v>
      </c>
      <c r="C79" t="s">
        <v>63</v>
      </c>
      <c r="D79" t="s">
        <v>18</v>
      </c>
      <c r="E79" t="s">
        <v>42</v>
      </c>
      <c r="F79" t="s">
        <v>42</v>
      </c>
      <c r="G79" t="s">
        <v>178</v>
      </c>
      <c r="H79" t="s">
        <v>101</v>
      </c>
      <c r="I79" t="s">
        <v>179</v>
      </c>
      <c r="J79">
        <v>1</v>
      </c>
      <c r="K79">
        <v>85000</v>
      </c>
      <c r="L79">
        <v>0.05</v>
      </c>
      <c r="M79">
        <v>0</v>
      </c>
      <c r="N79" t="s">
        <v>86</v>
      </c>
      <c r="O79" t="s">
        <v>60</v>
      </c>
      <c r="P79" t="s">
        <v>26</v>
      </c>
      <c r="Q79">
        <v>8</v>
      </c>
      <c r="R79" t="s">
        <v>588</v>
      </c>
      <c r="S79" t="s">
        <v>586</v>
      </c>
    </row>
    <row r="80" spans="1:19" x14ac:dyDescent="0.3">
      <c r="A80" t="s">
        <v>311</v>
      </c>
      <c r="B80" s="2">
        <v>45989</v>
      </c>
      <c r="C80" t="s">
        <v>56</v>
      </c>
      <c r="D80" t="s">
        <v>18</v>
      </c>
      <c r="E80" t="s">
        <v>42</v>
      </c>
      <c r="F80" t="s">
        <v>42</v>
      </c>
      <c r="G80" t="s">
        <v>128</v>
      </c>
      <c r="H80" t="s">
        <v>22</v>
      </c>
      <c r="I80" t="s">
        <v>92</v>
      </c>
      <c r="J80">
        <v>14</v>
      </c>
      <c r="K80">
        <v>190000</v>
      </c>
      <c r="L80">
        <v>0.05</v>
      </c>
      <c r="M80">
        <v>2527000</v>
      </c>
      <c r="N80" t="s">
        <v>86</v>
      </c>
      <c r="O80" t="s">
        <v>175</v>
      </c>
      <c r="P80" t="s">
        <v>61</v>
      </c>
      <c r="Q80">
        <v>11</v>
      </c>
      <c r="R80" t="s">
        <v>577</v>
      </c>
      <c r="S80" t="s">
        <v>578</v>
      </c>
    </row>
    <row r="81" spans="1:19" x14ac:dyDescent="0.3">
      <c r="A81" t="s">
        <v>232</v>
      </c>
      <c r="B81" s="2">
        <v>45854</v>
      </c>
      <c r="C81" t="s">
        <v>39</v>
      </c>
      <c r="D81" t="s">
        <v>40</v>
      </c>
      <c r="E81" t="s">
        <v>42</v>
      </c>
      <c r="F81" t="s">
        <v>42</v>
      </c>
      <c r="G81" t="s">
        <v>21</v>
      </c>
      <c r="H81" t="s">
        <v>22</v>
      </c>
      <c r="I81" t="s">
        <v>23</v>
      </c>
      <c r="J81">
        <v>8</v>
      </c>
      <c r="K81">
        <v>16000</v>
      </c>
      <c r="L81">
        <v>0.02</v>
      </c>
      <c r="M81">
        <v>125440</v>
      </c>
      <c r="N81" t="s">
        <v>94</v>
      </c>
      <c r="O81" t="s">
        <v>175</v>
      </c>
      <c r="P81" t="s">
        <v>61</v>
      </c>
      <c r="Q81">
        <v>7</v>
      </c>
      <c r="R81" t="s">
        <v>585</v>
      </c>
      <c r="S81" t="s">
        <v>586</v>
      </c>
    </row>
    <row r="82" spans="1:19" x14ac:dyDescent="0.3">
      <c r="A82" t="s">
        <v>146</v>
      </c>
      <c r="B82" s="2">
        <v>45875</v>
      </c>
      <c r="C82" t="s">
        <v>147</v>
      </c>
      <c r="D82" t="s">
        <v>18</v>
      </c>
      <c r="E82" t="s">
        <v>148</v>
      </c>
      <c r="F82" t="s">
        <v>149</v>
      </c>
      <c r="G82" t="s">
        <v>74</v>
      </c>
      <c r="H82" t="s">
        <v>32</v>
      </c>
      <c r="I82" t="s">
        <v>33</v>
      </c>
      <c r="J82">
        <v>8</v>
      </c>
      <c r="K82">
        <v>95000</v>
      </c>
      <c r="L82">
        <v>0</v>
      </c>
      <c r="M82">
        <v>-760000</v>
      </c>
      <c r="N82" t="s">
        <v>86</v>
      </c>
      <c r="O82" t="s">
        <v>145</v>
      </c>
      <c r="P82" t="s">
        <v>183</v>
      </c>
      <c r="Q82">
        <v>8</v>
      </c>
      <c r="R82" t="s">
        <v>588</v>
      </c>
      <c r="S82" t="s">
        <v>586</v>
      </c>
    </row>
    <row r="83" spans="1:19" x14ac:dyDescent="0.3">
      <c r="A83" t="s">
        <v>275</v>
      </c>
      <c r="B83" s="2">
        <v>45774</v>
      </c>
      <c r="C83" t="s">
        <v>82</v>
      </c>
      <c r="D83" t="s">
        <v>83</v>
      </c>
      <c r="E83" t="s">
        <v>84</v>
      </c>
      <c r="F83" t="s">
        <v>114</v>
      </c>
      <c r="G83" t="s">
        <v>57</v>
      </c>
      <c r="H83" t="s">
        <v>32</v>
      </c>
      <c r="I83" t="s">
        <v>58</v>
      </c>
      <c r="J83">
        <v>13</v>
      </c>
      <c r="K83">
        <v>713000</v>
      </c>
      <c r="L83">
        <v>0</v>
      </c>
      <c r="M83">
        <v>9269000</v>
      </c>
      <c r="N83" t="s">
        <v>35</v>
      </c>
      <c r="O83" t="s">
        <v>75</v>
      </c>
      <c r="P83" t="s">
        <v>61</v>
      </c>
      <c r="Q83">
        <v>4</v>
      </c>
      <c r="R83" t="s">
        <v>582</v>
      </c>
      <c r="S83" t="s">
        <v>583</v>
      </c>
    </row>
    <row r="84" spans="1:19" x14ac:dyDescent="0.3">
      <c r="A84" t="s">
        <v>216</v>
      </c>
      <c r="B84" s="2">
        <v>45978</v>
      </c>
      <c r="C84" t="s">
        <v>63</v>
      </c>
      <c r="D84" t="s">
        <v>18</v>
      </c>
      <c r="E84" t="s">
        <v>42</v>
      </c>
      <c r="F84" t="s">
        <v>42</v>
      </c>
      <c r="G84" t="s">
        <v>169</v>
      </c>
      <c r="H84" t="s">
        <v>22</v>
      </c>
      <c r="I84" t="s">
        <v>23</v>
      </c>
      <c r="J84">
        <v>3</v>
      </c>
      <c r="K84">
        <v>41000</v>
      </c>
      <c r="L84">
        <v>0.05</v>
      </c>
      <c r="M84">
        <v>-116850</v>
      </c>
      <c r="N84" t="s">
        <v>86</v>
      </c>
      <c r="O84" t="s">
        <v>36</v>
      </c>
      <c r="P84" t="s">
        <v>183</v>
      </c>
      <c r="Q84">
        <v>11</v>
      </c>
      <c r="R84" t="s">
        <v>577</v>
      </c>
      <c r="S84" t="s">
        <v>578</v>
      </c>
    </row>
    <row r="85" spans="1:19" x14ac:dyDescent="0.3">
      <c r="A85" t="s">
        <v>497</v>
      </c>
      <c r="B85" s="2">
        <v>45898</v>
      </c>
      <c r="C85" t="s">
        <v>147</v>
      </c>
      <c r="D85" t="s">
        <v>18</v>
      </c>
      <c r="E85" t="s">
        <v>148</v>
      </c>
      <c r="F85" t="s">
        <v>149</v>
      </c>
      <c r="G85" t="s">
        <v>109</v>
      </c>
      <c r="H85" t="s">
        <v>32</v>
      </c>
      <c r="I85" t="s">
        <v>44</v>
      </c>
      <c r="J85">
        <v>3</v>
      </c>
      <c r="K85">
        <v>130000</v>
      </c>
      <c r="L85">
        <v>0.1</v>
      </c>
      <c r="M85">
        <v>0</v>
      </c>
      <c r="N85" t="s">
        <v>86</v>
      </c>
      <c r="O85" t="s">
        <v>46</v>
      </c>
      <c r="P85" t="s">
        <v>26</v>
      </c>
      <c r="Q85">
        <v>8</v>
      </c>
      <c r="R85" t="s">
        <v>588</v>
      </c>
      <c r="S85" t="s">
        <v>586</v>
      </c>
    </row>
    <row r="86" spans="1:19" x14ac:dyDescent="0.3">
      <c r="A86" t="s">
        <v>475</v>
      </c>
      <c r="B86" s="2">
        <v>45819</v>
      </c>
      <c r="C86" t="s">
        <v>130</v>
      </c>
      <c r="D86" t="s">
        <v>131</v>
      </c>
      <c r="E86" t="s">
        <v>19</v>
      </c>
      <c r="F86" t="s">
        <v>20</v>
      </c>
      <c r="G86" t="s">
        <v>295</v>
      </c>
      <c r="H86" t="s">
        <v>32</v>
      </c>
      <c r="I86" t="s">
        <v>58</v>
      </c>
      <c r="J86">
        <v>15</v>
      </c>
      <c r="K86">
        <v>405000</v>
      </c>
      <c r="L86">
        <v>0.02</v>
      </c>
      <c r="M86">
        <v>0</v>
      </c>
      <c r="N86" t="s">
        <v>94</v>
      </c>
      <c r="O86" t="s">
        <v>95</v>
      </c>
      <c r="P86" t="s">
        <v>26</v>
      </c>
      <c r="Q86">
        <v>6</v>
      </c>
      <c r="R86" t="s">
        <v>589</v>
      </c>
      <c r="S86" t="s">
        <v>583</v>
      </c>
    </row>
    <row r="87" spans="1:19" x14ac:dyDescent="0.3">
      <c r="A87" t="s">
        <v>167</v>
      </c>
      <c r="B87" s="2">
        <v>45761</v>
      </c>
      <c r="C87" t="s">
        <v>82</v>
      </c>
      <c r="D87" t="s">
        <v>83</v>
      </c>
      <c r="E87" t="s">
        <v>84</v>
      </c>
      <c r="F87" t="s">
        <v>114</v>
      </c>
      <c r="G87" t="s">
        <v>169</v>
      </c>
      <c r="H87" t="s">
        <v>22</v>
      </c>
      <c r="I87" t="s">
        <v>23</v>
      </c>
      <c r="J87">
        <v>2</v>
      </c>
      <c r="K87">
        <v>41000</v>
      </c>
      <c r="L87">
        <v>0.02</v>
      </c>
      <c r="M87">
        <v>-80360</v>
      </c>
      <c r="N87" t="s">
        <v>86</v>
      </c>
      <c r="O87" t="s">
        <v>75</v>
      </c>
      <c r="P87" t="s">
        <v>183</v>
      </c>
      <c r="Q87">
        <v>4</v>
      </c>
      <c r="R87" t="s">
        <v>582</v>
      </c>
      <c r="S87" t="s">
        <v>583</v>
      </c>
    </row>
    <row r="88" spans="1:19" x14ac:dyDescent="0.3">
      <c r="A88" t="s">
        <v>400</v>
      </c>
      <c r="B88" s="2">
        <v>45837</v>
      </c>
      <c r="C88" t="s">
        <v>113</v>
      </c>
      <c r="D88" t="s">
        <v>29</v>
      </c>
      <c r="E88" t="s">
        <v>84</v>
      </c>
      <c r="F88" t="s">
        <v>114</v>
      </c>
      <c r="G88" t="s">
        <v>208</v>
      </c>
      <c r="H88" t="s">
        <v>209</v>
      </c>
      <c r="I88" t="s">
        <v>65</v>
      </c>
      <c r="J88">
        <v>11</v>
      </c>
      <c r="K88">
        <v>102000</v>
      </c>
      <c r="L88">
        <v>0.02</v>
      </c>
      <c r="M88">
        <v>1099560</v>
      </c>
      <c r="N88" t="s">
        <v>53</v>
      </c>
      <c r="O88" t="s">
        <v>75</v>
      </c>
      <c r="P88" t="s">
        <v>61</v>
      </c>
      <c r="Q88">
        <v>6</v>
      </c>
      <c r="R88" t="s">
        <v>589</v>
      </c>
      <c r="S88" t="s">
        <v>583</v>
      </c>
    </row>
    <row r="89" spans="1:19" x14ac:dyDescent="0.3">
      <c r="A89" t="s">
        <v>385</v>
      </c>
      <c r="B89" s="2">
        <v>45875</v>
      </c>
      <c r="C89" t="s">
        <v>287</v>
      </c>
      <c r="D89" t="s">
        <v>22</v>
      </c>
      <c r="E89" t="s">
        <v>19</v>
      </c>
      <c r="F89" t="s">
        <v>20</v>
      </c>
      <c r="G89" t="s">
        <v>71</v>
      </c>
      <c r="H89" t="s">
        <v>32</v>
      </c>
      <c r="I89" t="s">
        <v>33</v>
      </c>
      <c r="J89">
        <v>7</v>
      </c>
      <c r="K89">
        <v>326000</v>
      </c>
      <c r="L89">
        <v>0.02</v>
      </c>
      <c r="M89">
        <v>-2236360</v>
      </c>
      <c r="N89" t="s">
        <v>94</v>
      </c>
      <c r="O89" t="s">
        <v>46</v>
      </c>
      <c r="P89" t="s">
        <v>183</v>
      </c>
      <c r="Q89">
        <v>8</v>
      </c>
      <c r="R89" t="s">
        <v>588</v>
      </c>
      <c r="S89" t="s">
        <v>586</v>
      </c>
    </row>
    <row r="90" spans="1:19" x14ac:dyDescent="0.3">
      <c r="A90" t="s">
        <v>340</v>
      </c>
      <c r="B90" s="2">
        <v>45882</v>
      </c>
      <c r="C90" t="s">
        <v>117</v>
      </c>
      <c r="D90" t="s">
        <v>68</v>
      </c>
      <c r="E90" t="s">
        <v>123</v>
      </c>
      <c r="F90" t="s">
        <v>225</v>
      </c>
      <c r="G90" t="s">
        <v>341</v>
      </c>
      <c r="H90" t="s">
        <v>101</v>
      </c>
      <c r="I90" t="s">
        <v>102</v>
      </c>
      <c r="J90">
        <v>11</v>
      </c>
      <c r="K90">
        <v>134000</v>
      </c>
      <c r="L90">
        <v>0.02</v>
      </c>
      <c r="M90">
        <v>0</v>
      </c>
      <c r="N90" t="s">
        <v>94</v>
      </c>
      <c r="O90" t="s">
        <v>25</v>
      </c>
      <c r="P90" t="s">
        <v>26</v>
      </c>
      <c r="Q90">
        <v>8</v>
      </c>
      <c r="R90" t="s">
        <v>588</v>
      </c>
      <c r="S90" t="s">
        <v>586</v>
      </c>
    </row>
    <row r="91" spans="1:19" x14ac:dyDescent="0.3">
      <c r="A91" t="s">
        <v>242</v>
      </c>
      <c r="B91" s="2">
        <v>45883</v>
      </c>
      <c r="C91" t="s">
        <v>214</v>
      </c>
      <c r="D91" t="s">
        <v>102</v>
      </c>
      <c r="E91" t="s">
        <v>19</v>
      </c>
      <c r="F91" t="s">
        <v>20</v>
      </c>
      <c r="G91" t="s">
        <v>125</v>
      </c>
      <c r="H91" t="s">
        <v>32</v>
      </c>
      <c r="I91" t="s">
        <v>52</v>
      </c>
      <c r="J91">
        <v>6</v>
      </c>
      <c r="K91">
        <v>353000</v>
      </c>
      <c r="L91">
        <v>0</v>
      </c>
      <c r="M91">
        <v>2118000</v>
      </c>
      <c r="N91" t="s">
        <v>53</v>
      </c>
      <c r="O91" t="s">
        <v>25</v>
      </c>
      <c r="P91" t="s">
        <v>61</v>
      </c>
      <c r="Q91">
        <v>8</v>
      </c>
      <c r="R91" t="s">
        <v>588</v>
      </c>
      <c r="S91" t="s">
        <v>586</v>
      </c>
    </row>
    <row r="92" spans="1:19" x14ac:dyDescent="0.3">
      <c r="A92" t="s">
        <v>120</v>
      </c>
      <c r="B92" s="2">
        <v>45784</v>
      </c>
      <c r="C92" t="s">
        <v>67</v>
      </c>
      <c r="D92" t="s">
        <v>68</v>
      </c>
      <c r="E92" t="s">
        <v>69</v>
      </c>
      <c r="F92" t="s">
        <v>70</v>
      </c>
      <c r="G92" t="s">
        <v>64</v>
      </c>
      <c r="H92" t="s">
        <v>32</v>
      </c>
      <c r="I92" t="s">
        <v>65</v>
      </c>
      <c r="J92">
        <v>6</v>
      </c>
      <c r="K92">
        <v>474000</v>
      </c>
      <c r="L92">
        <v>0</v>
      </c>
      <c r="M92">
        <v>2844000</v>
      </c>
      <c r="N92" t="s">
        <v>53</v>
      </c>
      <c r="O92" t="s">
        <v>46</v>
      </c>
      <c r="P92" t="s">
        <v>87</v>
      </c>
      <c r="Q92">
        <v>5</v>
      </c>
      <c r="R92" t="s">
        <v>584</v>
      </c>
      <c r="S92" t="s">
        <v>583</v>
      </c>
    </row>
    <row r="93" spans="1:19" x14ac:dyDescent="0.3">
      <c r="A93" t="s">
        <v>282</v>
      </c>
      <c r="B93" s="2">
        <v>45909</v>
      </c>
      <c r="C93" t="s">
        <v>154</v>
      </c>
      <c r="D93" t="s">
        <v>131</v>
      </c>
      <c r="E93" t="s">
        <v>19</v>
      </c>
      <c r="F93" t="s">
        <v>20</v>
      </c>
      <c r="G93" t="s">
        <v>109</v>
      </c>
      <c r="H93" t="s">
        <v>32</v>
      </c>
      <c r="I93" t="s">
        <v>44</v>
      </c>
      <c r="J93">
        <v>13</v>
      </c>
      <c r="K93">
        <v>156000</v>
      </c>
      <c r="L93">
        <v>0.02</v>
      </c>
      <c r="M93">
        <v>1987440</v>
      </c>
      <c r="N93" t="s">
        <v>53</v>
      </c>
      <c r="O93" t="s">
        <v>175</v>
      </c>
      <c r="P93" t="s">
        <v>61</v>
      </c>
      <c r="Q93">
        <v>9</v>
      </c>
      <c r="R93" t="s">
        <v>591</v>
      </c>
      <c r="S93" t="s">
        <v>586</v>
      </c>
    </row>
    <row r="94" spans="1:19" x14ac:dyDescent="0.3">
      <c r="A94" t="s">
        <v>455</v>
      </c>
      <c r="B94" s="2">
        <v>45944</v>
      </c>
      <c r="C94" t="s">
        <v>49</v>
      </c>
      <c r="D94" t="s">
        <v>50</v>
      </c>
      <c r="E94" t="s">
        <v>19</v>
      </c>
      <c r="F94" t="s">
        <v>20</v>
      </c>
      <c r="G94" t="s">
        <v>341</v>
      </c>
      <c r="H94" t="s">
        <v>101</v>
      </c>
      <c r="I94" t="s">
        <v>102</v>
      </c>
      <c r="J94">
        <v>4</v>
      </c>
      <c r="K94">
        <v>130000</v>
      </c>
      <c r="L94">
        <v>0</v>
      </c>
      <c r="M94">
        <v>520000</v>
      </c>
      <c r="N94" t="s">
        <v>94</v>
      </c>
      <c r="O94" t="s">
        <v>25</v>
      </c>
      <c r="P94" t="s">
        <v>61</v>
      </c>
      <c r="Q94">
        <v>10</v>
      </c>
      <c r="R94" t="s">
        <v>593</v>
      </c>
      <c r="S94" t="s">
        <v>578</v>
      </c>
    </row>
    <row r="95" spans="1:19" x14ac:dyDescent="0.3">
      <c r="A95" t="s">
        <v>350</v>
      </c>
      <c r="B95" s="2">
        <v>45944</v>
      </c>
      <c r="C95" t="s">
        <v>28</v>
      </c>
      <c r="D95" t="s">
        <v>29</v>
      </c>
      <c r="E95" t="s">
        <v>30</v>
      </c>
      <c r="F95" t="s">
        <v>20</v>
      </c>
      <c r="G95" t="s">
        <v>204</v>
      </c>
      <c r="H95" t="s">
        <v>101</v>
      </c>
      <c r="I95" t="s">
        <v>156</v>
      </c>
      <c r="J95">
        <v>11</v>
      </c>
      <c r="K95">
        <v>155000</v>
      </c>
      <c r="L95">
        <v>0.05</v>
      </c>
      <c r="M95">
        <v>1619750</v>
      </c>
      <c r="N95" t="s">
        <v>86</v>
      </c>
      <c r="O95" t="s">
        <v>60</v>
      </c>
      <c r="P95" t="s">
        <v>87</v>
      </c>
      <c r="Q95">
        <v>10</v>
      </c>
      <c r="R95" t="s">
        <v>593</v>
      </c>
      <c r="S95" t="s">
        <v>578</v>
      </c>
    </row>
    <row r="96" spans="1:19" x14ac:dyDescent="0.3">
      <c r="A96" t="s">
        <v>460</v>
      </c>
      <c r="B96" s="2">
        <v>45810</v>
      </c>
      <c r="C96" t="s">
        <v>28</v>
      </c>
      <c r="D96" t="s">
        <v>29</v>
      </c>
      <c r="E96" t="s">
        <v>30</v>
      </c>
      <c r="F96" t="s">
        <v>20</v>
      </c>
      <c r="G96" t="s">
        <v>64</v>
      </c>
      <c r="H96" t="s">
        <v>32</v>
      </c>
      <c r="I96" t="s">
        <v>65</v>
      </c>
      <c r="J96">
        <v>12</v>
      </c>
      <c r="K96">
        <v>566000</v>
      </c>
      <c r="L96">
        <v>0</v>
      </c>
      <c r="M96">
        <v>6792000</v>
      </c>
      <c r="N96" t="s">
        <v>53</v>
      </c>
      <c r="O96" t="s">
        <v>25</v>
      </c>
      <c r="P96" t="s">
        <v>61</v>
      </c>
      <c r="Q96">
        <v>6</v>
      </c>
      <c r="R96" t="s">
        <v>589</v>
      </c>
      <c r="S96" t="s">
        <v>583</v>
      </c>
    </row>
    <row r="97" spans="1:19" x14ac:dyDescent="0.3">
      <c r="A97" t="s">
        <v>188</v>
      </c>
      <c r="B97" s="2">
        <v>45943</v>
      </c>
      <c r="C97" t="s">
        <v>106</v>
      </c>
      <c r="D97" t="s">
        <v>50</v>
      </c>
      <c r="E97" t="s">
        <v>107</v>
      </c>
      <c r="F97" t="s">
        <v>108</v>
      </c>
      <c r="G97" t="s">
        <v>109</v>
      </c>
      <c r="H97" t="s">
        <v>32</v>
      </c>
      <c r="I97" t="s">
        <v>44</v>
      </c>
      <c r="J97">
        <v>7</v>
      </c>
      <c r="K97">
        <v>147000</v>
      </c>
      <c r="L97">
        <v>0.1</v>
      </c>
      <c r="M97">
        <v>926100</v>
      </c>
      <c r="N97" t="s">
        <v>53</v>
      </c>
      <c r="O97" t="s">
        <v>25</v>
      </c>
      <c r="P97" t="s">
        <v>61</v>
      </c>
      <c r="Q97">
        <v>10</v>
      </c>
      <c r="R97" t="s">
        <v>593</v>
      </c>
      <c r="S97" t="s">
        <v>578</v>
      </c>
    </row>
    <row r="98" spans="1:19" x14ac:dyDescent="0.3">
      <c r="A98" t="s">
        <v>492</v>
      </c>
      <c r="B98" s="2">
        <v>45798</v>
      </c>
      <c r="C98" t="s">
        <v>135</v>
      </c>
      <c r="D98" t="s">
        <v>50</v>
      </c>
      <c r="E98" t="s">
        <v>107</v>
      </c>
      <c r="F98" t="s">
        <v>108</v>
      </c>
      <c r="G98" t="s">
        <v>125</v>
      </c>
      <c r="H98" t="s">
        <v>32</v>
      </c>
      <c r="I98" t="s">
        <v>52</v>
      </c>
      <c r="J98">
        <v>4</v>
      </c>
      <c r="K98">
        <v>357000</v>
      </c>
      <c r="L98">
        <v>0</v>
      </c>
      <c r="M98">
        <v>-1428000</v>
      </c>
      <c r="N98" t="s">
        <v>35</v>
      </c>
      <c r="O98" t="s">
        <v>145</v>
      </c>
      <c r="P98" t="s">
        <v>183</v>
      </c>
      <c r="Q98">
        <v>5</v>
      </c>
      <c r="R98" t="s">
        <v>584</v>
      </c>
      <c r="S98" t="s">
        <v>583</v>
      </c>
    </row>
    <row r="99" spans="1:19" x14ac:dyDescent="0.3">
      <c r="A99" t="s">
        <v>464</v>
      </c>
      <c r="B99" s="2">
        <v>45721</v>
      </c>
      <c r="C99" t="s">
        <v>113</v>
      </c>
      <c r="D99" t="s">
        <v>29</v>
      </c>
      <c r="E99" t="s">
        <v>84</v>
      </c>
      <c r="F99" t="s">
        <v>114</v>
      </c>
      <c r="G99" t="s">
        <v>160</v>
      </c>
      <c r="H99" t="s">
        <v>22</v>
      </c>
      <c r="I99" t="s">
        <v>23</v>
      </c>
      <c r="J99">
        <v>4</v>
      </c>
      <c r="K99">
        <v>75000</v>
      </c>
      <c r="L99">
        <v>0</v>
      </c>
      <c r="M99">
        <v>-300000</v>
      </c>
      <c r="N99" t="s">
        <v>94</v>
      </c>
      <c r="O99" t="s">
        <v>175</v>
      </c>
      <c r="P99" t="s">
        <v>183</v>
      </c>
      <c r="Q99">
        <v>3</v>
      </c>
      <c r="R99" t="s">
        <v>592</v>
      </c>
      <c r="S99" t="s">
        <v>580</v>
      </c>
    </row>
    <row r="100" spans="1:19" x14ac:dyDescent="0.3">
      <c r="A100" t="s">
        <v>502</v>
      </c>
      <c r="B100" s="2">
        <v>45961</v>
      </c>
      <c r="C100" t="s">
        <v>106</v>
      </c>
      <c r="D100" t="s">
        <v>50</v>
      </c>
      <c r="E100" t="s">
        <v>107</v>
      </c>
      <c r="F100" t="s">
        <v>108</v>
      </c>
      <c r="G100" t="s">
        <v>137</v>
      </c>
      <c r="H100" t="s">
        <v>138</v>
      </c>
      <c r="I100" t="s">
        <v>138</v>
      </c>
      <c r="J100">
        <v>2</v>
      </c>
      <c r="K100">
        <v>25000</v>
      </c>
      <c r="L100">
        <v>0</v>
      </c>
      <c r="M100">
        <v>50000</v>
      </c>
      <c r="N100" t="s">
        <v>35</v>
      </c>
      <c r="O100" t="s">
        <v>145</v>
      </c>
      <c r="P100" t="s">
        <v>61</v>
      </c>
      <c r="Q100">
        <v>10</v>
      </c>
      <c r="R100" t="s">
        <v>593</v>
      </c>
      <c r="S100" t="s">
        <v>578</v>
      </c>
    </row>
    <row r="101" spans="1:19" x14ac:dyDescent="0.3">
      <c r="A101" t="s">
        <v>468</v>
      </c>
      <c r="B101" s="2">
        <v>45751</v>
      </c>
      <c r="C101" t="s">
        <v>135</v>
      </c>
      <c r="D101" t="s">
        <v>50</v>
      </c>
      <c r="E101" t="s">
        <v>107</v>
      </c>
      <c r="F101" t="s">
        <v>108</v>
      </c>
      <c r="G101" t="s">
        <v>295</v>
      </c>
      <c r="H101" t="s">
        <v>32</v>
      </c>
      <c r="I101" t="s">
        <v>58</v>
      </c>
      <c r="J101">
        <v>12</v>
      </c>
      <c r="K101">
        <v>382000</v>
      </c>
      <c r="L101">
        <v>0.1</v>
      </c>
      <c r="M101">
        <v>4125600</v>
      </c>
      <c r="N101" t="s">
        <v>53</v>
      </c>
      <c r="O101" t="s">
        <v>75</v>
      </c>
      <c r="P101" t="s">
        <v>61</v>
      </c>
      <c r="Q101">
        <v>4</v>
      </c>
      <c r="R101" t="s">
        <v>582</v>
      </c>
      <c r="S101" t="s">
        <v>583</v>
      </c>
    </row>
    <row r="102" spans="1:19" x14ac:dyDescent="0.3">
      <c r="A102" t="s">
        <v>205</v>
      </c>
      <c r="B102" s="2">
        <v>45687</v>
      </c>
      <c r="C102" t="s">
        <v>113</v>
      </c>
      <c r="D102" t="s">
        <v>29</v>
      </c>
      <c r="E102" t="s">
        <v>84</v>
      </c>
      <c r="F102" t="s">
        <v>114</v>
      </c>
      <c r="G102" t="s">
        <v>137</v>
      </c>
      <c r="H102" t="s">
        <v>138</v>
      </c>
      <c r="I102" t="s">
        <v>138</v>
      </c>
      <c r="J102">
        <v>12</v>
      </c>
      <c r="K102">
        <v>25000</v>
      </c>
      <c r="L102">
        <v>0</v>
      </c>
      <c r="M102">
        <v>-300000</v>
      </c>
      <c r="N102" t="s">
        <v>94</v>
      </c>
      <c r="O102" t="s">
        <v>60</v>
      </c>
      <c r="P102" t="s">
        <v>183</v>
      </c>
      <c r="Q102">
        <v>1</v>
      </c>
      <c r="R102" t="s">
        <v>587</v>
      </c>
      <c r="S102" t="s">
        <v>580</v>
      </c>
    </row>
    <row r="103" spans="1:19" x14ac:dyDescent="0.3">
      <c r="A103" t="s">
        <v>420</v>
      </c>
      <c r="B103" s="2">
        <v>45666</v>
      </c>
      <c r="C103" t="s">
        <v>214</v>
      </c>
      <c r="D103" t="s">
        <v>102</v>
      </c>
      <c r="E103" t="s">
        <v>19</v>
      </c>
      <c r="F103" t="s">
        <v>20</v>
      </c>
      <c r="G103" t="s">
        <v>137</v>
      </c>
      <c r="H103" t="s">
        <v>138</v>
      </c>
      <c r="I103" t="s">
        <v>138</v>
      </c>
      <c r="J103">
        <v>8</v>
      </c>
      <c r="K103">
        <v>29000</v>
      </c>
      <c r="L103">
        <v>0.05</v>
      </c>
      <c r="M103">
        <v>220400</v>
      </c>
      <c r="N103" t="s">
        <v>53</v>
      </c>
      <c r="O103" t="s">
        <v>46</v>
      </c>
      <c r="P103" t="s">
        <v>87</v>
      </c>
      <c r="Q103">
        <v>1</v>
      </c>
      <c r="R103" t="s">
        <v>587</v>
      </c>
      <c r="S103" t="s">
        <v>580</v>
      </c>
    </row>
    <row r="104" spans="1:19" x14ac:dyDescent="0.3">
      <c r="A104" t="s">
        <v>465</v>
      </c>
      <c r="B104" s="2">
        <v>45686</v>
      </c>
      <c r="C104" t="s">
        <v>147</v>
      </c>
      <c r="D104" t="s">
        <v>18</v>
      </c>
      <c r="E104" t="s">
        <v>148</v>
      </c>
      <c r="F104" t="s">
        <v>149</v>
      </c>
      <c r="G104" t="s">
        <v>204</v>
      </c>
      <c r="H104" t="s">
        <v>101</v>
      </c>
      <c r="I104" t="s">
        <v>156</v>
      </c>
      <c r="J104">
        <v>2</v>
      </c>
      <c r="K104">
        <v>145000</v>
      </c>
      <c r="L104">
        <v>0</v>
      </c>
      <c r="M104">
        <v>290000</v>
      </c>
      <c r="N104" t="s">
        <v>94</v>
      </c>
      <c r="O104" t="s">
        <v>60</v>
      </c>
      <c r="P104" t="s">
        <v>87</v>
      </c>
      <c r="Q104">
        <v>1</v>
      </c>
      <c r="R104" t="s">
        <v>587</v>
      </c>
      <c r="S104" t="s">
        <v>580</v>
      </c>
    </row>
    <row r="105" spans="1:19" x14ac:dyDescent="0.3">
      <c r="A105" t="s">
        <v>428</v>
      </c>
      <c r="B105" s="2">
        <v>45955</v>
      </c>
      <c r="C105" t="s">
        <v>17</v>
      </c>
      <c r="D105" t="s">
        <v>18</v>
      </c>
      <c r="E105" t="s">
        <v>19</v>
      </c>
      <c r="F105" t="s">
        <v>20</v>
      </c>
      <c r="G105" t="s">
        <v>128</v>
      </c>
      <c r="H105" t="s">
        <v>22</v>
      </c>
      <c r="I105" t="s">
        <v>92</v>
      </c>
      <c r="J105">
        <v>3</v>
      </c>
      <c r="K105">
        <v>198000</v>
      </c>
      <c r="L105">
        <v>0.1</v>
      </c>
      <c r="M105">
        <v>534600</v>
      </c>
      <c r="N105" t="s">
        <v>86</v>
      </c>
      <c r="O105" t="s">
        <v>36</v>
      </c>
      <c r="P105" t="s">
        <v>61</v>
      </c>
      <c r="Q105">
        <v>10</v>
      </c>
      <c r="R105" t="s">
        <v>593</v>
      </c>
      <c r="S105" t="s">
        <v>578</v>
      </c>
    </row>
    <row r="106" spans="1:19" x14ac:dyDescent="0.3">
      <c r="A106" t="s">
        <v>370</v>
      </c>
      <c r="B106" s="2">
        <v>45720</v>
      </c>
      <c r="C106" t="s">
        <v>113</v>
      </c>
      <c r="D106" t="s">
        <v>29</v>
      </c>
      <c r="E106" t="s">
        <v>84</v>
      </c>
      <c r="F106" t="s">
        <v>114</v>
      </c>
      <c r="G106" t="s">
        <v>208</v>
      </c>
      <c r="H106" t="s">
        <v>209</v>
      </c>
      <c r="I106" t="s">
        <v>65</v>
      </c>
      <c r="J106">
        <v>10</v>
      </c>
      <c r="K106">
        <v>107000</v>
      </c>
      <c r="L106">
        <v>0.1</v>
      </c>
      <c r="M106">
        <v>0</v>
      </c>
      <c r="N106" t="s">
        <v>35</v>
      </c>
      <c r="O106" t="s">
        <v>95</v>
      </c>
      <c r="P106" t="s">
        <v>26</v>
      </c>
      <c r="Q106">
        <v>3</v>
      </c>
      <c r="R106" t="s">
        <v>592</v>
      </c>
      <c r="S106" t="s">
        <v>580</v>
      </c>
    </row>
    <row r="107" spans="1:19" x14ac:dyDescent="0.3">
      <c r="A107" t="s">
        <v>469</v>
      </c>
      <c r="B107" s="2">
        <v>45890</v>
      </c>
      <c r="C107" t="s">
        <v>67</v>
      </c>
      <c r="D107" t="s">
        <v>68</v>
      </c>
      <c r="E107" t="s">
        <v>69</v>
      </c>
      <c r="F107" t="s">
        <v>70</v>
      </c>
      <c r="G107" t="s">
        <v>137</v>
      </c>
      <c r="H107" t="s">
        <v>138</v>
      </c>
      <c r="I107" t="s">
        <v>138</v>
      </c>
      <c r="J107">
        <v>14</v>
      </c>
      <c r="K107">
        <v>27000</v>
      </c>
      <c r="L107">
        <v>0.1</v>
      </c>
      <c r="M107">
        <v>340200</v>
      </c>
      <c r="N107" t="s">
        <v>53</v>
      </c>
      <c r="O107" t="s">
        <v>75</v>
      </c>
      <c r="P107" t="s">
        <v>87</v>
      </c>
      <c r="Q107">
        <v>8</v>
      </c>
      <c r="R107" t="s">
        <v>588</v>
      </c>
      <c r="S107" t="s">
        <v>586</v>
      </c>
    </row>
    <row r="108" spans="1:19" x14ac:dyDescent="0.3">
      <c r="A108" t="s">
        <v>323</v>
      </c>
      <c r="B108" s="2">
        <v>45972</v>
      </c>
      <c r="C108" t="s">
        <v>130</v>
      </c>
      <c r="D108" t="s">
        <v>131</v>
      </c>
      <c r="E108" t="s">
        <v>19</v>
      </c>
      <c r="F108" t="s">
        <v>20</v>
      </c>
      <c r="G108" t="s">
        <v>21</v>
      </c>
      <c r="H108" t="s">
        <v>22</v>
      </c>
      <c r="I108" t="s">
        <v>23</v>
      </c>
      <c r="J108">
        <v>11</v>
      </c>
      <c r="K108">
        <v>18000</v>
      </c>
      <c r="L108">
        <v>0</v>
      </c>
      <c r="M108">
        <v>198000</v>
      </c>
      <c r="N108" t="s">
        <v>86</v>
      </c>
      <c r="O108" t="s">
        <v>46</v>
      </c>
      <c r="P108" t="s">
        <v>61</v>
      </c>
      <c r="Q108">
        <v>11</v>
      </c>
      <c r="R108" t="s">
        <v>577</v>
      </c>
      <c r="S108" t="s">
        <v>578</v>
      </c>
    </row>
    <row r="109" spans="1:19" x14ac:dyDescent="0.3">
      <c r="A109" t="s">
        <v>195</v>
      </c>
      <c r="B109" s="2">
        <v>45782</v>
      </c>
      <c r="C109" t="s">
        <v>117</v>
      </c>
      <c r="D109" t="s">
        <v>68</v>
      </c>
      <c r="E109" t="s">
        <v>123</v>
      </c>
      <c r="F109" t="s">
        <v>225</v>
      </c>
      <c r="G109" t="s">
        <v>178</v>
      </c>
      <c r="H109" t="s">
        <v>101</v>
      </c>
      <c r="I109" t="s">
        <v>179</v>
      </c>
      <c r="J109">
        <v>2</v>
      </c>
      <c r="K109">
        <v>103000</v>
      </c>
      <c r="L109">
        <v>0</v>
      </c>
      <c r="M109">
        <v>206000</v>
      </c>
      <c r="N109" t="s">
        <v>94</v>
      </c>
      <c r="O109" t="s">
        <v>25</v>
      </c>
      <c r="P109" t="s">
        <v>61</v>
      </c>
      <c r="Q109">
        <v>5</v>
      </c>
      <c r="R109" t="s">
        <v>584</v>
      </c>
      <c r="S109" t="s">
        <v>583</v>
      </c>
    </row>
    <row r="110" spans="1:19" x14ac:dyDescent="0.3">
      <c r="A110" t="s">
        <v>338</v>
      </c>
      <c r="B110" s="2">
        <v>46012</v>
      </c>
      <c r="C110" t="s">
        <v>190</v>
      </c>
      <c r="D110" t="s">
        <v>191</v>
      </c>
      <c r="E110" t="s">
        <v>42</v>
      </c>
      <c r="F110" t="s">
        <v>42</v>
      </c>
      <c r="G110" t="s">
        <v>204</v>
      </c>
      <c r="H110" t="s">
        <v>101</v>
      </c>
      <c r="I110" t="s">
        <v>156</v>
      </c>
      <c r="J110">
        <v>5</v>
      </c>
      <c r="K110">
        <v>141000</v>
      </c>
      <c r="L110">
        <v>0</v>
      </c>
      <c r="M110">
        <v>705000</v>
      </c>
      <c r="N110" t="s">
        <v>53</v>
      </c>
      <c r="O110" t="s">
        <v>175</v>
      </c>
      <c r="P110" t="s">
        <v>61</v>
      </c>
      <c r="Q110">
        <v>12</v>
      </c>
      <c r="R110" t="s">
        <v>590</v>
      </c>
      <c r="S110" t="s">
        <v>578</v>
      </c>
    </row>
    <row r="111" spans="1:19" x14ac:dyDescent="0.3">
      <c r="A111" t="s">
        <v>435</v>
      </c>
      <c r="B111" s="2">
        <v>46019</v>
      </c>
      <c r="C111" t="s">
        <v>67</v>
      </c>
      <c r="D111" t="s">
        <v>68</v>
      </c>
      <c r="E111" t="s">
        <v>69</v>
      </c>
      <c r="F111" t="s">
        <v>70</v>
      </c>
      <c r="G111" t="s">
        <v>74</v>
      </c>
      <c r="H111" t="s">
        <v>32</v>
      </c>
      <c r="I111" t="s">
        <v>33</v>
      </c>
      <c r="J111">
        <v>11</v>
      </c>
      <c r="K111">
        <v>77000</v>
      </c>
      <c r="L111">
        <v>0</v>
      </c>
      <c r="M111">
        <v>847000</v>
      </c>
      <c r="N111" t="s">
        <v>35</v>
      </c>
      <c r="O111" t="s">
        <v>95</v>
      </c>
      <c r="P111" t="s">
        <v>61</v>
      </c>
      <c r="Q111">
        <v>12</v>
      </c>
      <c r="R111" t="s">
        <v>590</v>
      </c>
      <c r="S111" t="s">
        <v>578</v>
      </c>
    </row>
    <row r="112" spans="1:19" x14ac:dyDescent="0.3">
      <c r="A112" t="s">
        <v>378</v>
      </c>
      <c r="B112" s="2">
        <v>45718</v>
      </c>
      <c r="C112" t="s">
        <v>113</v>
      </c>
      <c r="D112" t="s">
        <v>29</v>
      </c>
      <c r="E112" t="s">
        <v>84</v>
      </c>
      <c r="F112" t="s">
        <v>114</v>
      </c>
      <c r="G112" t="s">
        <v>169</v>
      </c>
      <c r="H112" t="s">
        <v>22</v>
      </c>
      <c r="I112" t="s">
        <v>23</v>
      </c>
      <c r="J112">
        <v>11</v>
      </c>
      <c r="K112">
        <v>40000</v>
      </c>
      <c r="L112">
        <v>0</v>
      </c>
      <c r="M112">
        <v>440000</v>
      </c>
      <c r="N112" t="s">
        <v>35</v>
      </c>
      <c r="O112" t="s">
        <v>60</v>
      </c>
      <c r="P112" t="s">
        <v>61</v>
      </c>
      <c r="Q112">
        <v>3</v>
      </c>
      <c r="R112" t="s">
        <v>592</v>
      </c>
      <c r="S112" t="s">
        <v>580</v>
      </c>
    </row>
    <row r="113" spans="1:19" x14ac:dyDescent="0.3">
      <c r="A113" t="s">
        <v>483</v>
      </c>
      <c r="B113" s="2">
        <v>45690</v>
      </c>
      <c r="C113" t="s">
        <v>117</v>
      </c>
      <c r="D113" t="s">
        <v>68</v>
      </c>
      <c r="E113" t="s">
        <v>123</v>
      </c>
      <c r="F113" t="s">
        <v>225</v>
      </c>
      <c r="G113" t="s">
        <v>137</v>
      </c>
      <c r="H113" t="s">
        <v>138</v>
      </c>
      <c r="I113" t="s">
        <v>138</v>
      </c>
      <c r="J113">
        <v>10</v>
      </c>
      <c r="K113">
        <v>26000</v>
      </c>
      <c r="L113">
        <v>0.1</v>
      </c>
      <c r="M113">
        <v>234000</v>
      </c>
      <c r="N113" t="s">
        <v>94</v>
      </c>
      <c r="O113" t="s">
        <v>60</v>
      </c>
      <c r="P113" t="s">
        <v>61</v>
      </c>
      <c r="Q113">
        <v>2</v>
      </c>
      <c r="R113" t="s">
        <v>579</v>
      </c>
      <c r="S113" t="s">
        <v>580</v>
      </c>
    </row>
    <row r="114" spans="1:19" x14ac:dyDescent="0.3">
      <c r="A114" t="s">
        <v>233</v>
      </c>
      <c r="B114" s="2">
        <v>45899</v>
      </c>
      <c r="C114" t="s">
        <v>135</v>
      </c>
      <c r="D114" t="s">
        <v>50</v>
      </c>
      <c r="E114" t="s">
        <v>107</v>
      </c>
      <c r="F114" t="s">
        <v>108</v>
      </c>
      <c r="G114" t="s">
        <v>64</v>
      </c>
      <c r="H114" t="s">
        <v>32</v>
      </c>
      <c r="I114" t="s">
        <v>65</v>
      </c>
      <c r="J114">
        <v>5</v>
      </c>
      <c r="K114">
        <v>588000</v>
      </c>
      <c r="L114">
        <v>0.1</v>
      </c>
      <c r="M114">
        <v>0</v>
      </c>
      <c r="N114" t="s">
        <v>94</v>
      </c>
      <c r="O114" t="s">
        <v>25</v>
      </c>
      <c r="P114" t="s">
        <v>26</v>
      </c>
      <c r="Q114">
        <v>8</v>
      </c>
      <c r="R114" t="s">
        <v>588</v>
      </c>
      <c r="S114" t="s">
        <v>586</v>
      </c>
    </row>
    <row r="115" spans="1:19" x14ac:dyDescent="0.3">
      <c r="A115" t="s">
        <v>491</v>
      </c>
      <c r="B115" s="2">
        <v>45701</v>
      </c>
      <c r="C115" t="s">
        <v>190</v>
      </c>
      <c r="D115" t="s">
        <v>191</v>
      </c>
      <c r="E115" t="s">
        <v>42</v>
      </c>
      <c r="F115" t="s">
        <v>42</v>
      </c>
      <c r="G115" t="s">
        <v>57</v>
      </c>
      <c r="H115" t="s">
        <v>32</v>
      </c>
      <c r="I115" t="s">
        <v>58</v>
      </c>
      <c r="J115">
        <v>15</v>
      </c>
      <c r="K115">
        <v>747000</v>
      </c>
      <c r="L115">
        <v>0.05</v>
      </c>
      <c r="M115">
        <v>-10644750</v>
      </c>
      <c r="N115" t="s">
        <v>53</v>
      </c>
      <c r="O115" t="s">
        <v>175</v>
      </c>
      <c r="P115" t="s">
        <v>183</v>
      </c>
      <c r="Q115">
        <v>2</v>
      </c>
      <c r="R115" t="s">
        <v>579</v>
      </c>
      <c r="S115" t="s">
        <v>580</v>
      </c>
    </row>
    <row r="116" spans="1:19" x14ac:dyDescent="0.3">
      <c r="A116" t="s">
        <v>265</v>
      </c>
      <c r="B116" s="2">
        <v>45673</v>
      </c>
      <c r="C116" t="s">
        <v>82</v>
      </c>
      <c r="D116" t="s">
        <v>83</v>
      </c>
      <c r="E116" t="s">
        <v>84</v>
      </c>
      <c r="F116" t="s">
        <v>114</v>
      </c>
      <c r="G116" t="s">
        <v>169</v>
      </c>
      <c r="H116" t="s">
        <v>22</v>
      </c>
      <c r="I116" t="s">
        <v>23</v>
      </c>
      <c r="J116">
        <v>11</v>
      </c>
      <c r="K116">
        <v>44000</v>
      </c>
      <c r="L116">
        <v>0.1</v>
      </c>
      <c r="M116">
        <v>0</v>
      </c>
      <c r="N116" t="s">
        <v>86</v>
      </c>
      <c r="O116" t="s">
        <v>175</v>
      </c>
      <c r="P116" t="s">
        <v>26</v>
      </c>
      <c r="Q116">
        <v>1</v>
      </c>
      <c r="R116" t="s">
        <v>587</v>
      </c>
      <c r="S116" t="s">
        <v>580</v>
      </c>
    </row>
    <row r="117" spans="1:19" x14ac:dyDescent="0.3">
      <c r="A117" t="s">
        <v>434</v>
      </c>
      <c r="B117" s="2">
        <v>45955</v>
      </c>
      <c r="C117" t="s">
        <v>17</v>
      </c>
      <c r="D117" t="s">
        <v>18</v>
      </c>
      <c r="E117" t="s">
        <v>19</v>
      </c>
      <c r="F117" t="s">
        <v>20</v>
      </c>
      <c r="G117" t="s">
        <v>160</v>
      </c>
      <c r="H117" t="s">
        <v>22</v>
      </c>
      <c r="I117" t="s">
        <v>23</v>
      </c>
      <c r="J117">
        <v>8</v>
      </c>
      <c r="K117">
        <v>84000</v>
      </c>
      <c r="L117">
        <v>0.1</v>
      </c>
      <c r="M117">
        <v>-604800</v>
      </c>
      <c r="N117" t="s">
        <v>94</v>
      </c>
      <c r="O117" t="s">
        <v>175</v>
      </c>
      <c r="P117" t="s">
        <v>183</v>
      </c>
      <c r="Q117">
        <v>10</v>
      </c>
      <c r="R117" t="s">
        <v>593</v>
      </c>
      <c r="S117" t="s">
        <v>578</v>
      </c>
    </row>
    <row r="118" spans="1:19" x14ac:dyDescent="0.3">
      <c r="A118" t="s">
        <v>253</v>
      </c>
      <c r="B118" s="2">
        <v>45752</v>
      </c>
      <c r="C118" t="s">
        <v>214</v>
      </c>
      <c r="D118" t="s">
        <v>102</v>
      </c>
      <c r="E118" t="s">
        <v>19</v>
      </c>
      <c r="F118" t="s">
        <v>20</v>
      </c>
      <c r="G118" t="s">
        <v>208</v>
      </c>
      <c r="H118" t="s">
        <v>209</v>
      </c>
      <c r="I118" t="s">
        <v>65</v>
      </c>
      <c r="J118">
        <v>11</v>
      </c>
      <c r="K118">
        <v>104000</v>
      </c>
      <c r="L118">
        <v>0.05</v>
      </c>
      <c r="M118">
        <v>1086800</v>
      </c>
      <c r="N118" t="s">
        <v>94</v>
      </c>
      <c r="O118" t="s">
        <v>145</v>
      </c>
      <c r="P118" t="s">
        <v>61</v>
      </c>
      <c r="Q118">
        <v>4</v>
      </c>
      <c r="R118" t="s">
        <v>582</v>
      </c>
      <c r="S118" t="s">
        <v>583</v>
      </c>
    </row>
    <row r="119" spans="1:19" x14ac:dyDescent="0.3">
      <c r="A119" t="s">
        <v>276</v>
      </c>
      <c r="B119" s="2">
        <v>45869</v>
      </c>
      <c r="C119" t="s">
        <v>39</v>
      </c>
      <c r="D119" t="s">
        <v>40</v>
      </c>
      <c r="E119" t="s">
        <v>42</v>
      </c>
      <c r="F119" t="s">
        <v>42</v>
      </c>
      <c r="G119" t="s">
        <v>144</v>
      </c>
      <c r="H119" t="s">
        <v>32</v>
      </c>
      <c r="I119" t="s">
        <v>44</v>
      </c>
      <c r="J119">
        <v>11</v>
      </c>
      <c r="K119">
        <v>223000</v>
      </c>
      <c r="L119">
        <v>0</v>
      </c>
      <c r="M119">
        <v>2453000</v>
      </c>
      <c r="N119" t="s">
        <v>53</v>
      </c>
      <c r="O119" t="s">
        <v>95</v>
      </c>
      <c r="P119" t="s">
        <v>61</v>
      </c>
      <c r="Q119">
        <v>7</v>
      </c>
      <c r="R119" t="s">
        <v>585</v>
      </c>
      <c r="S119" t="s">
        <v>586</v>
      </c>
    </row>
    <row r="120" spans="1:19" x14ac:dyDescent="0.3">
      <c r="A120" t="s">
        <v>286</v>
      </c>
      <c r="B120" s="2">
        <v>46015</v>
      </c>
      <c r="C120" t="s">
        <v>287</v>
      </c>
      <c r="D120" t="s">
        <v>22</v>
      </c>
      <c r="E120" t="s">
        <v>19</v>
      </c>
      <c r="F120" t="s">
        <v>20</v>
      </c>
      <c r="G120" t="s">
        <v>137</v>
      </c>
      <c r="H120" t="s">
        <v>138</v>
      </c>
      <c r="I120" t="s">
        <v>138</v>
      </c>
      <c r="J120">
        <v>11</v>
      </c>
      <c r="K120">
        <v>31000</v>
      </c>
      <c r="L120">
        <v>0.05</v>
      </c>
      <c r="M120">
        <v>0</v>
      </c>
      <c r="N120" t="s">
        <v>86</v>
      </c>
      <c r="O120" t="s">
        <v>25</v>
      </c>
      <c r="P120" t="s">
        <v>26</v>
      </c>
      <c r="Q120">
        <v>12</v>
      </c>
      <c r="R120" t="s">
        <v>590</v>
      </c>
      <c r="S120" t="s">
        <v>578</v>
      </c>
    </row>
    <row r="121" spans="1:19" x14ac:dyDescent="0.3">
      <c r="A121" t="s">
        <v>335</v>
      </c>
      <c r="B121" s="2">
        <v>45705</v>
      </c>
      <c r="C121" t="s">
        <v>39</v>
      </c>
      <c r="D121" t="s">
        <v>40</v>
      </c>
      <c r="E121" t="s">
        <v>42</v>
      </c>
      <c r="F121" t="s">
        <v>42</v>
      </c>
      <c r="G121" t="s">
        <v>125</v>
      </c>
      <c r="H121" t="s">
        <v>32</v>
      </c>
      <c r="I121" t="s">
        <v>52</v>
      </c>
      <c r="J121">
        <v>6</v>
      </c>
      <c r="K121">
        <v>359000</v>
      </c>
      <c r="L121">
        <v>0</v>
      </c>
      <c r="M121">
        <v>2154000</v>
      </c>
      <c r="N121" t="s">
        <v>86</v>
      </c>
      <c r="O121" t="s">
        <v>25</v>
      </c>
      <c r="P121" t="s">
        <v>87</v>
      </c>
      <c r="Q121">
        <v>2</v>
      </c>
      <c r="R121" t="s">
        <v>579</v>
      </c>
      <c r="S121" t="s">
        <v>580</v>
      </c>
    </row>
    <row r="122" spans="1:19" x14ac:dyDescent="0.3">
      <c r="A122" t="s">
        <v>594</v>
      </c>
      <c r="B122" s="2">
        <v>45871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>
        <v>9</v>
      </c>
      <c r="K122">
        <v>20000</v>
      </c>
      <c r="L122">
        <v>0.02</v>
      </c>
      <c r="M122">
        <v>0</v>
      </c>
      <c r="N122" t="s">
        <v>94</v>
      </c>
      <c r="O122" t="s">
        <v>25</v>
      </c>
      <c r="P122" t="s">
        <v>26</v>
      </c>
      <c r="Q122">
        <v>8</v>
      </c>
      <c r="R122" t="s">
        <v>588</v>
      </c>
      <c r="S122" t="s">
        <v>586</v>
      </c>
    </row>
    <row r="123" spans="1:19" x14ac:dyDescent="0.3">
      <c r="A123" t="s">
        <v>384</v>
      </c>
      <c r="B123" s="2">
        <v>45686</v>
      </c>
      <c r="C123" t="s">
        <v>154</v>
      </c>
      <c r="D123" t="s">
        <v>131</v>
      </c>
      <c r="E123" t="s">
        <v>19</v>
      </c>
      <c r="F123" t="s">
        <v>20</v>
      </c>
      <c r="G123" t="s">
        <v>125</v>
      </c>
      <c r="H123" t="s">
        <v>32</v>
      </c>
      <c r="I123" t="s">
        <v>52</v>
      </c>
      <c r="J123">
        <v>9</v>
      </c>
      <c r="K123">
        <v>393000</v>
      </c>
      <c r="L123">
        <v>0</v>
      </c>
      <c r="M123">
        <v>3537000</v>
      </c>
      <c r="N123" t="s">
        <v>94</v>
      </c>
      <c r="O123" t="s">
        <v>25</v>
      </c>
      <c r="P123" t="s">
        <v>61</v>
      </c>
      <c r="Q123">
        <v>1</v>
      </c>
      <c r="R123" t="s">
        <v>587</v>
      </c>
      <c r="S123" t="s">
        <v>580</v>
      </c>
    </row>
    <row r="124" spans="1:19" x14ac:dyDescent="0.3">
      <c r="A124" t="s">
        <v>200</v>
      </c>
      <c r="B124" s="2">
        <v>45722</v>
      </c>
      <c r="C124" t="s">
        <v>49</v>
      </c>
      <c r="D124" t="s">
        <v>50</v>
      </c>
      <c r="E124" t="s">
        <v>19</v>
      </c>
      <c r="F124" t="s">
        <v>20</v>
      </c>
      <c r="G124" t="s">
        <v>169</v>
      </c>
      <c r="H124" t="s">
        <v>22</v>
      </c>
      <c r="I124" t="s">
        <v>23</v>
      </c>
      <c r="J124">
        <v>12</v>
      </c>
      <c r="K124">
        <v>41000</v>
      </c>
      <c r="L124">
        <v>0</v>
      </c>
      <c r="M124">
        <v>492000</v>
      </c>
      <c r="N124" t="s">
        <v>86</v>
      </c>
      <c r="O124" t="s">
        <v>95</v>
      </c>
      <c r="P124" t="s">
        <v>61</v>
      </c>
      <c r="Q124">
        <v>3</v>
      </c>
      <c r="R124" t="s">
        <v>592</v>
      </c>
      <c r="S124" t="s">
        <v>580</v>
      </c>
    </row>
    <row r="125" spans="1:19" x14ac:dyDescent="0.3">
      <c r="A125" t="s">
        <v>496</v>
      </c>
      <c r="B125" s="2">
        <v>45707</v>
      </c>
      <c r="C125" t="s">
        <v>28</v>
      </c>
      <c r="D125" t="s">
        <v>29</v>
      </c>
      <c r="E125" t="s">
        <v>30</v>
      </c>
      <c r="F125" t="s">
        <v>20</v>
      </c>
      <c r="G125" t="s">
        <v>71</v>
      </c>
      <c r="H125" t="s">
        <v>32</v>
      </c>
      <c r="I125" t="s">
        <v>33</v>
      </c>
      <c r="J125">
        <v>8</v>
      </c>
      <c r="K125">
        <v>282000</v>
      </c>
      <c r="L125">
        <v>0</v>
      </c>
      <c r="M125">
        <v>-2256000</v>
      </c>
      <c r="N125" t="s">
        <v>35</v>
      </c>
      <c r="O125" t="s">
        <v>25</v>
      </c>
      <c r="P125" t="s">
        <v>183</v>
      </c>
      <c r="Q125">
        <v>2</v>
      </c>
      <c r="R125" t="s">
        <v>579</v>
      </c>
      <c r="S125" t="s">
        <v>580</v>
      </c>
    </row>
    <row r="126" spans="1:19" x14ac:dyDescent="0.3">
      <c r="A126" t="s">
        <v>467</v>
      </c>
      <c r="B126" s="2">
        <v>45809</v>
      </c>
      <c r="C126" t="s">
        <v>106</v>
      </c>
      <c r="D126" t="s">
        <v>50</v>
      </c>
      <c r="E126" t="s">
        <v>107</v>
      </c>
      <c r="F126" t="s">
        <v>108</v>
      </c>
      <c r="G126" t="s">
        <v>125</v>
      </c>
      <c r="H126" t="s">
        <v>32</v>
      </c>
      <c r="I126" t="s">
        <v>52</v>
      </c>
      <c r="J126">
        <v>7</v>
      </c>
      <c r="K126">
        <v>330000</v>
      </c>
      <c r="L126">
        <v>0.05</v>
      </c>
      <c r="M126">
        <v>2194500</v>
      </c>
      <c r="N126" t="s">
        <v>35</v>
      </c>
      <c r="O126" t="s">
        <v>25</v>
      </c>
      <c r="P126" t="s">
        <v>87</v>
      </c>
      <c r="Q126">
        <v>6</v>
      </c>
      <c r="R126" t="s">
        <v>589</v>
      </c>
      <c r="S126" t="s">
        <v>583</v>
      </c>
    </row>
    <row r="127" spans="1:19" x14ac:dyDescent="0.3">
      <c r="A127" t="s">
        <v>62</v>
      </c>
      <c r="B127" s="2">
        <v>45942</v>
      </c>
      <c r="C127" t="s">
        <v>63</v>
      </c>
      <c r="D127" t="s">
        <v>18</v>
      </c>
      <c r="E127" t="s">
        <v>42</v>
      </c>
      <c r="F127" t="s">
        <v>42</v>
      </c>
      <c r="G127" t="s">
        <v>64</v>
      </c>
      <c r="H127" t="s">
        <v>32</v>
      </c>
      <c r="I127" t="s">
        <v>65</v>
      </c>
      <c r="J127">
        <v>4</v>
      </c>
      <c r="K127">
        <v>518000</v>
      </c>
      <c r="L127">
        <v>0.1</v>
      </c>
      <c r="M127">
        <v>0</v>
      </c>
      <c r="N127" t="s">
        <v>35</v>
      </c>
      <c r="O127" t="s">
        <v>60</v>
      </c>
      <c r="P127" t="s">
        <v>26</v>
      </c>
      <c r="Q127">
        <v>10</v>
      </c>
      <c r="R127" t="s">
        <v>593</v>
      </c>
      <c r="S127" t="s">
        <v>578</v>
      </c>
    </row>
    <row r="128" spans="1:19" x14ac:dyDescent="0.3">
      <c r="A128" t="s">
        <v>488</v>
      </c>
      <c r="B128" s="2">
        <v>45801</v>
      </c>
      <c r="C128" t="s">
        <v>56</v>
      </c>
      <c r="D128" t="s">
        <v>18</v>
      </c>
      <c r="E128" t="s">
        <v>42</v>
      </c>
      <c r="F128" t="s">
        <v>42</v>
      </c>
      <c r="G128" t="s">
        <v>144</v>
      </c>
      <c r="H128" t="s">
        <v>32</v>
      </c>
      <c r="I128" t="s">
        <v>44</v>
      </c>
      <c r="J128">
        <v>15</v>
      </c>
      <c r="K128">
        <v>264000</v>
      </c>
      <c r="L128">
        <v>0.1</v>
      </c>
      <c r="M128">
        <v>3564000</v>
      </c>
      <c r="N128" t="s">
        <v>86</v>
      </c>
      <c r="O128" t="s">
        <v>175</v>
      </c>
      <c r="P128" t="s">
        <v>61</v>
      </c>
      <c r="Q128">
        <v>5</v>
      </c>
      <c r="R128" t="s">
        <v>584</v>
      </c>
      <c r="S128" t="s">
        <v>583</v>
      </c>
    </row>
    <row r="129" spans="1:19" x14ac:dyDescent="0.3">
      <c r="A129" t="s">
        <v>213</v>
      </c>
      <c r="B129" s="2">
        <v>45812</v>
      </c>
      <c r="C129" t="s">
        <v>214</v>
      </c>
      <c r="D129" t="s">
        <v>102</v>
      </c>
      <c r="E129" t="s">
        <v>19</v>
      </c>
      <c r="F129" t="s">
        <v>20</v>
      </c>
      <c r="G129" t="s">
        <v>204</v>
      </c>
      <c r="H129" t="s">
        <v>101</v>
      </c>
      <c r="I129" t="s">
        <v>156</v>
      </c>
      <c r="J129">
        <v>14</v>
      </c>
      <c r="K129">
        <v>167000</v>
      </c>
      <c r="L129">
        <v>0</v>
      </c>
      <c r="M129">
        <v>2338000</v>
      </c>
      <c r="N129" t="s">
        <v>94</v>
      </c>
      <c r="O129" t="s">
        <v>145</v>
      </c>
      <c r="P129" t="s">
        <v>87</v>
      </c>
      <c r="Q129">
        <v>6</v>
      </c>
      <c r="R129" t="s">
        <v>589</v>
      </c>
      <c r="S129" t="s">
        <v>583</v>
      </c>
    </row>
    <row r="130" spans="1:19" x14ac:dyDescent="0.3">
      <c r="A130" t="s">
        <v>316</v>
      </c>
      <c r="B130" s="2">
        <v>45830</v>
      </c>
      <c r="C130" t="s">
        <v>113</v>
      </c>
      <c r="D130" t="s">
        <v>29</v>
      </c>
      <c r="E130" t="s">
        <v>84</v>
      </c>
      <c r="F130" t="s">
        <v>114</v>
      </c>
      <c r="G130" t="s">
        <v>178</v>
      </c>
      <c r="H130" t="s">
        <v>101</v>
      </c>
      <c r="I130" t="s">
        <v>179</v>
      </c>
      <c r="J130">
        <v>7</v>
      </c>
      <c r="K130">
        <v>84000</v>
      </c>
      <c r="L130">
        <v>0.05</v>
      </c>
      <c r="M130">
        <v>558600</v>
      </c>
      <c r="N130" t="s">
        <v>35</v>
      </c>
      <c r="O130" t="s">
        <v>36</v>
      </c>
      <c r="P130" t="s">
        <v>61</v>
      </c>
      <c r="Q130">
        <v>6</v>
      </c>
      <c r="R130" t="s">
        <v>589</v>
      </c>
      <c r="S130" t="s">
        <v>583</v>
      </c>
    </row>
    <row r="131" spans="1:19" x14ac:dyDescent="0.3">
      <c r="A131" t="s">
        <v>424</v>
      </c>
      <c r="B131" s="2">
        <v>45952</v>
      </c>
      <c r="C131" t="s">
        <v>89</v>
      </c>
      <c r="D131" t="s">
        <v>90</v>
      </c>
      <c r="E131" t="s">
        <v>19</v>
      </c>
      <c r="F131" t="s">
        <v>20</v>
      </c>
      <c r="G131" t="s">
        <v>169</v>
      </c>
      <c r="H131" t="s">
        <v>22</v>
      </c>
      <c r="I131" t="s">
        <v>23</v>
      </c>
      <c r="J131">
        <v>14</v>
      </c>
      <c r="K131">
        <v>43000</v>
      </c>
      <c r="L131">
        <v>0.05</v>
      </c>
      <c r="M131">
        <v>571900</v>
      </c>
      <c r="N131" t="s">
        <v>53</v>
      </c>
      <c r="O131" t="s">
        <v>25</v>
      </c>
      <c r="P131" t="s">
        <v>61</v>
      </c>
      <c r="Q131">
        <v>10</v>
      </c>
      <c r="R131" t="s">
        <v>593</v>
      </c>
      <c r="S131" t="s">
        <v>578</v>
      </c>
    </row>
    <row r="132" spans="1:19" x14ac:dyDescent="0.3">
      <c r="A132" t="s">
        <v>314</v>
      </c>
      <c r="B132" s="2">
        <v>46021</v>
      </c>
      <c r="C132" t="s">
        <v>89</v>
      </c>
      <c r="D132" t="s">
        <v>90</v>
      </c>
      <c r="E132" t="s">
        <v>19</v>
      </c>
      <c r="F132" t="s">
        <v>20</v>
      </c>
      <c r="G132" t="s">
        <v>64</v>
      </c>
      <c r="H132" t="s">
        <v>32</v>
      </c>
      <c r="I132" t="s">
        <v>65</v>
      </c>
      <c r="J132">
        <v>11</v>
      </c>
      <c r="K132">
        <v>516000</v>
      </c>
      <c r="L132">
        <v>0</v>
      </c>
      <c r="M132">
        <v>5676000</v>
      </c>
      <c r="N132" t="s">
        <v>86</v>
      </c>
      <c r="O132" t="s">
        <v>46</v>
      </c>
      <c r="P132" t="s">
        <v>87</v>
      </c>
      <c r="Q132">
        <v>12</v>
      </c>
      <c r="R132" t="s">
        <v>590</v>
      </c>
      <c r="S132" t="s">
        <v>578</v>
      </c>
    </row>
    <row r="133" spans="1:19" x14ac:dyDescent="0.3">
      <c r="A133" t="s">
        <v>452</v>
      </c>
      <c r="B133" s="2">
        <v>45917</v>
      </c>
      <c r="C133" t="s">
        <v>214</v>
      </c>
      <c r="D133" t="s">
        <v>102</v>
      </c>
      <c r="E133" t="s">
        <v>19</v>
      </c>
      <c r="F133" t="s">
        <v>20</v>
      </c>
      <c r="G133" t="s">
        <v>144</v>
      </c>
      <c r="H133" t="s">
        <v>32</v>
      </c>
      <c r="I133" t="s">
        <v>44</v>
      </c>
      <c r="J133">
        <v>14</v>
      </c>
      <c r="K133">
        <v>226000</v>
      </c>
      <c r="L133">
        <v>0</v>
      </c>
      <c r="M133">
        <v>3164000</v>
      </c>
      <c r="N133" t="s">
        <v>86</v>
      </c>
      <c r="O133" t="s">
        <v>25</v>
      </c>
      <c r="P133" t="s">
        <v>87</v>
      </c>
      <c r="Q133">
        <v>9</v>
      </c>
      <c r="R133" t="s">
        <v>591</v>
      </c>
      <c r="S133" t="s">
        <v>586</v>
      </c>
    </row>
    <row r="134" spans="1:19" x14ac:dyDescent="0.3">
      <c r="A134" t="s">
        <v>210</v>
      </c>
      <c r="B134" s="2">
        <v>45667</v>
      </c>
      <c r="C134" t="s">
        <v>63</v>
      </c>
      <c r="D134" t="s">
        <v>18</v>
      </c>
      <c r="E134" t="s">
        <v>42</v>
      </c>
      <c r="F134" t="s">
        <v>42</v>
      </c>
      <c r="G134" t="s">
        <v>208</v>
      </c>
      <c r="H134" t="s">
        <v>209</v>
      </c>
      <c r="I134" t="s">
        <v>65</v>
      </c>
      <c r="J134">
        <v>14</v>
      </c>
      <c r="K134">
        <v>87000</v>
      </c>
      <c r="L134">
        <v>0</v>
      </c>
      <c r="M134">
        <v>1218000</v>
      </c>
      <c r="N134" t="s">
        <v>94</v>
      </c>
      <c r="O134" t="s">
        <v>175</v>
      </c>
      <c r="P134" t="s">
        <v>61</v>
      </c>
      <c r="Q134">
        <v>1</v>
      </c>
      <c r="R134" t="s">
        <v>587</v>
      </c>
      <c r="S134" t="s">
        <v>580</v>
      </c>
    </row>
    <row r="135" spans="1:19" x14ac:dyDescent="0.3">
      <c r="A135" t="s">
        <v>371</v>
      </c>
      <c r="B135" s="2">
        <v>45833</v>
      </c>
      <c r="C135" t="s">
        <v>190</v>
      </c>
      <c r="D135" t="s">
        <v>191</v>
      </c>
      <c r="E135" t="s">
        <v>42</v>
      </c>
      <c r="F135" t="s">
        <v>42</v>
      </c>
      <c r="G135" t="s">
        <v>64</v>
      </c>
      <c r="H135" t="s">
        <v>32</v>
      </c>
      <c r="I135" t="s">
        <v>65</v>
      </c>
      <c r="J135">
        <v>11</v>
      </c>
      <c r="K135">
        <v>505000</v>
      </c>
      <c r="L135">
        <v>0</v>
      </c>
      <c r="M135">
        <v>5555000</v>
      </c>
      <c r="N135" t="s">
        <v>94</v>
      </c>
      <c r="O135" t="s">
        <v>145</v>
      </c>
      <c r="P135" t="s">
        <v>61</v>
      </c>
      <c r="Q135">
        <v>6</v>
      </c>
      <c r="R135" t="s">
        <v>589</v>
      </c>
      <c r="S135" t="s">
        <v>583</v>
      </c>
    </row>
    <row r="136" spans="1:19" x14ac:dyDescent="0.3">
      <c r="A136" t="s">
        <v>431</v>
      </c>
      <c r="B136" s="2">
        <v>45980</v>
      </c>
      <c r="C136" t="s">
        <v>287</v>
      </c>
      <c r="D136" t="s">
        <v>22</v>
      </c>
      <c r="E136" t="s">
        <v>19</v>
      </c>
      <c r="F136" t="s">
        <v>20</v>
      </c>
      <c r="G136" t="s">
        <v>178</v>
      </c>
      <c r="H136" t="s">
        <v>101</v>
      </c>
      <c r="I136" t="s">
        <v>179</v>
      </c>
      <c r="J136">
        <v>1</v>
      </c>
      <c r="K136">
        <v>108000</v>
      </c>
      <c r="L136">
        <v>0.1</v>
      </c>
      <c r="M136">
        <v>97200</v>
      </c>
      <c r="N136" t="s">
        <v>35</v>
      </c>
      <c r="O136" t="s">
        <v>175</v>
      </c>
      <c r="P136" t="s">
        <v>61</v>
      </c>
      <c r="Q136">
        <v>11</v>
      </c>
      <c r="R136" t="s">
        <v>577</v>
      </c>
      <c r="S136" t="s">
        <v>578</v>
      </c>
    </row>
    <row r="137" spans="1:19" x14ac:dyDescent="0.3">
      <c r="A137" t="s">
        <v>470</v>
      </c>
      <c r="B137" s="2">
        <v>45776</v>
      </c>
      <c r="C137" t="s">
        <v>82</v>
      </c>
      <c r="D137" t="s">
        <v>83</v>
      </c>
      <c r="E137" t="s">
        <v>84</v>
      </c>
      <c r="F137" t="s">
        <v>114</v>
      </c>
      <c r="G137" t="s">
        <v>208</v>
      </c>
      <c r="H137" t="s">
        <v>209</v>
      </c>
      <c r="I137" t="s">
        <v>65</v>
      </c>
      <c r="J137">
        <v>2</v>
      </c>
      <c r="K137">
        <v>92000</v>
      </c>
      <c r="L137">
        <v>0</v>
      </c>
      <c r="M137">
        <v>184000</v>
      </c>
      <c r="N137" t="s">
        <v>35</v>
      </c>
      <c r="O137" t="s">
        <v>175</v>
      </c>
      <c r="P137" t="s">
        <v>87</v>
      </c>
      <c r="Q137">
        <v>4</v>
      </c>
      <c r="R137" t="s">
        <v>582</v>
      </c>
      <c r="S137" t="s">
        <v>583</v>
      </c>
    </row>
    <row r="138" spans="1:19" x14ac:dyDescent="0.3">
      <c r="A138" t="s">
        <v>142</v>
      </c>
      <c r="B138" s="2">
        <v>45674</v>
      </c>
      <c r="C138" t="s">
        <v>17</v>
      </c>
      <c r="D138" t="s">
        <v>18</v>
      </c>
      <c r="E138" t="s">
        <v>19</v>
      </c>
      <c r="F138" t="s">
        <v>20</v>
      </c>
      <c r="G138" t="s">
        <v>144</v>
      </c>
      <c r="H138" t="s">
        <v>32</v>
      </c>
      <c r="I138" t="s">
        <v>44</v>
      </c>
      <c r="J138">
        <v>13</v>
      </c>
      <c r="K138">
        <v>245000</v>
      </c>
      <c r="L138">
        <v>0</v>
      </c>
      <c r="M138">
        <v>3185000</v>
      </c>
      <c r="N138" t="s">
        <v>53</v>
      </c>
      <c r="O138" t="s">
        <v>145</v>
      </c>
      <c r="P138" t="s">
        <v>61</v>
      </c>
      <c r="Q138">
        <v>1</v>
      </c>
      <c r="R138" t="s">
        <v>587</v>
      </c>
      <c r="S138" t="s">
        <v>580</v>
      </c>
    </row>
    <row r="139" spans="1:19" x14ac:dyDescent="0.3">
      <c r="A139" t="s">
        <v>252</v>
      </c>
      <c r="B139" s="2">
        <v>45880</v>
      </c>
      <c r="C139" t="s">
        <v>63</v>
      </c>
      <c r="D139" t="s">
        <v>18</v>
      </c>
      <c r="E139" t="s">
        <v>42</v>
      </c>
      <c r="F139" t="s">
        <v>42</v>
      </c>
      <c r="G139" t="s">
        <v>169</v>
      </c>
      <c r="H139" t="s">
        <v>22</v>
      </c>
      <c r="I139" t="s">
        <v>23</v>
      </c>
      <c r="J139">
        <v>9</v>
      </c>
      <c r="K139">
        <v>45000</v>
      </c>
      <c r="L139">
        <v>0.05</v>
      </c>
      <c r="M139">
        <v>0</v>
      </c>
      <c r="N139" t="s">
        <v>35</v>
      </c>
      <c r="O139" t="s">
        <v>46</v>
      </c>
      <c r="P139" t="s">
        <v>26</v>
      </c>
      <c r="Q139">
        <v>8</v>
      </c>
      <c r="R139" t="s">
        <v>588</v>
      </c>
      <c r="S139" t="s">
        <v>586</v>
      </c>
    </row>
    <row r="140" spans="1:19" x14ac:dyDescent="0.3">
      <c r="A140" t="s">
        <v>445</v>
      </c>
      <c r="B140" s="2">
        <v>45749</v>
      </c>
      <c r="C140" t="s">
        <v>82</v>
      </c>
      <c r="D140" t="s">
        <v>83</v>
      </c>
      <c r="E140" t="s">
        <v>84</v>
      </c>
      <c r="F140" t="s">
        <v>114</v>
      </c>
      <c r="G140" t="s">
        <v>64</v>
      </c>
      <c r="H140" t="s">
        <v>32</v>
      </c>
      <c r="I140" t="s">
        <v>65</v>
      </c>
      <c r="J140">
        <v>10</v>
      </c>
      <c r="K140">
        <v>509000</v>
      </c>
      <c r="L140">
        <v>0</v>
      </c>
      <c r="M140">
        <v>5090000</v>
      </c>
      <c r="N140" t="s">
        <v>35</v>
      </c>
      <c r="O140" t="s">
        <v>36</v>
      </c>
      <c r="P140" t="s">
        <v>87</v>
      </c>
      <c r="Q140">
        <v>4</v>
      </c>
      <c r="R140" t="s">
        <v>582</v>
      </c>
      <c r="S140" t="s">
        <v>583</v>
      </c>
    </row>
    <row r="141" spans="1:19" x14ac:dyDescent="0.3">
      <c r="A141" t="s">
        <v>395</v>
      </c>
      <c r="B141" s="2">
        <v>45896</v>
      </c>
      <c r="C141" t="s">
        <v>147</v>
      </c>
      <c r="D141" t="s">
        <v>18</v>
      </c>
      <c r="E141" t="s">
        <v>148</v>
      </c>
      <c r="F141" t="s">
        <v>149</v>
      </c>
      <c r="G141" t="s">
        <v>235</v>
      </c>
      <c r="H141" t="s">
        <v>101</v>
      </c>
      <c r="I141" t="s">
        <v>156</v>
      </c>
      <c r="J141">
        <v>5</v>
      </c>
      <c r="K141">
        <v>206000</v>
      </c>
      <c r="L141">
        <v>0</v>
      </c>
      <c r="M141">
        <v>1030000</v>
      </c>
      <c r="N141" t="s">
        <v>53</v>
      </c>
      <c r="O141" t="s">
        <v>46</v>
      </c>
      <c r="P141" t="s">
        <v>87</v>
      </c>
      <c r="Q141">
        <v>8</v>
      </c>
      <c r="R141" t="s">
        <v>588</v>
      </c>
      <c r="S141" t="s">
        <v>586</v>
      </c>
    </row>
    <row r="142" spans="1:19" x14ac:dyDescent="0.3">
      <c r="A142" t="s">
        <v>383</v>
      </c>
      <c r="B142" s="2">
        <v>45697</v>
      </c>
      <c r="C142" t="s">
        <v>67</v>
      </c>
      <c r="D142" t="s">
        <v>68</v>
      </c>
      <c r="E142" t="s">
        <v>69</v>
      </c>
      <c r="F142" t="s">
        <v>70</v>
      </c>
      <c r="G142" t="s">
        <v>109</v>
      </c>
      <c r="H142" t="s">
        <v>32</v>
      </c>
      <c r="I142" t="s">
        <v>44</v>
      </c>
      <c r="J142">
        <v>10</v>
      </c>
      <c r="K142">
        <v>165000</v>
      </c>
      <c r="L142">
        <v>0.02</v>
      </c>
      <c r="M142">
        <v>-1617000</v>
      </c>
      <c r="N142" t="s">
        <v>94</v>
      </c>
      <c r="O142" t="s">
        <v>175</v>
      </c>
      <c r="P142" t="s">
        <v>183</v>
      </c>
      <c r="Q142">
        <v>2</v>
      </c>
      <c r="R142" t="s">
        <v>579</v>
      </c>
      <c r="S142" t="s">
        <v>580</v>
      </c>
    </row>
    <row r="143" spans="1:19" x14ac:dyDescent="0.3">
      <c r="A143" t="s">
        <v>339</v>
      </c>
      <c r="B143" s="2">
        <v>45893</v>
      </c>
      <c r="C143" t="s">
        <v>135</v>
      </c>
      <c r="D143" t="s">
        <v>50</v>
      </c>
      <c r="E143" t="s">
        <v>107</v>
      </c>
      <c r="F143" t="s">
        <v>108</v>
      </c>
      <c r="G143" t="s">
        <v>21</v>
      </c>
      <c r="H143" t="s">
        <v>22</v>
      </c>
      <c r="I143" t="s">
        <v>23</v>
      </c>
      <c r="J143">
        <v>7</v>
      </c>
      <c r="K143">
        <v>17000</v>
      </c>
      <c r="L143">
        <v>0.05</v>
      </c>
      <c r="M143">
        <v>113050</v>
      </c>
      <c r="N143" t="s">
        <v>35</v>
      </c>
      <c r="O143" t="s">
        <v>95</v>
      </c>
      <c r="P143" t="s">
        <v>61</v>
      </c>
      <c r="Q143">
        <v>8</v>
      </c>
      <c r="R143" t="s">
        <v>588</v>
      </c>
      <c r="S143" t="s">
        <v>586</v>
      </c>
    </row>
    <row r="144" spans="1:19" x14ac:dyDescent="0.3">
      <c r="A144" t="s">
        <v>173</v>
      </c>
      <c r="B144" s="2">
        <v>45952</v>
      </c>
      <c r="C144" t="s">
        <v>159</v>
      </c>
      <c r="D144" t="s">
        <v>131</v>
      </c>
      <c r="E144" t="s">
        <v>84</v>
      </c>
      <c r="F144" t="s">
        <v>114</v>
      </c>
      <c r="G144" t="s">
        <v>137</v>
      </c>
      <c r="H144" t="s">
        <v>138</v>
      </c>
      <c r="I144" t="s">
        <v>138</v>
      </c>
      <c r="J144">
        <v>12</v>
      </c>
      <c r="K144">
        <v>28000</v>
      </c>
      <c r="L144">
        <v>0.02</v>
      </c>
      <c r="M144">
        <v>329280</v>
      </c>
      <c r="N144" t="s">
        <v>94</v>
      </c>
      <c r="O144" t="s">
        <v>175</v>
      </c>
      <c r="P144" t="s">
        <v>61</v>
      </c>
      <c r="Q144">
        <v>10</v>
      </c>
      <c r="R144" t="s">
        <v>593</v>
      </c>
      <c r="S144" t="s">
        <v>578</v>
      </c>
    </row>
    <row r="145" spans="1:19" x14ac:dyDescent="0.3">
      <c r="A145" t="s">
        <v>303</v>
      </c>
      <c r="B145" s="2">
        <v>45664</v>
      </c>
      <c r="C145" t="s">
        <v>214</v>
      </c>
      <c r="D145" t="s">
        <v>102</v>
      </c>
      <c r="E145" t="s">
        <v>19</v>
      </c>
      <c r="F145" t="s">
        <v>20</v>
      </c>
      <c r="G145" t="s">
        <v>57</v>
      </c>
      <c r="H145" t="s">
        <v>32</v>
      </c>
      <c r="I145" t="s">
        <v>58</v>
      </c>
      <c r="J145">
        <v>15</v>
      </c>
      <c r="K145">
        <v>654000</v>
      </c>
      <c r="L145">
        <v>0.1</v>
      </c>
      <c r="M145">
        <v>-8829000</v>
      </c>
      <c r="N145" t="s">
        <v>94</v>
      </c>
      <c r="O145" t="s">
        <v>175</v>
      </c>
      <c r="P145" t="s">
        <v>183</v>
      </c>
      <c r="Q145">
        <v>1</v>
      </c>
      <c r="R145" t="s">
        <v>587</v>
      </c>
      <c r="S145" t="s">
        <v>580</v>
      </c>
    </row>
    <row r="146" spans="1:19" x14ac:dyDescent="0.3">
      <c r="A146" t="s">
        <v>262</v>
      </c>
      <c r="B146" s="2">
        <v>45777</v>
      </c>
      <c r="C146" t="s">
        <v>190</v>
      </c>
      <c r="D146" t="s">
        <v>191</v>
      </c>
      <c r="E146" t="s">
        <v>42</v>
      </c>
      <c r="F146" t="s">
        <v>42</v>
      </c>
      <c r="G146" t="s">
        <v>109</v>
      </c>
      <c r="H146" t="s">
        <v>32</v>
      </c>
      <c r="I146" t="s">
        <v>44</v>
      </c>
      <c r="J146">
        <v>4</v>
      </c>
      <c r="K146">
        <v>139000</v>
      </c>
      <c r="L146">
        <v>0</v>
      </c>
      <c r="M146">
        <v>0</v>
      </c>
      <c r="N146" t="s">
        <v>53</v>
      </c>
      <c r="O146" t="s">
        <v>46</v>
      </c>
      <c r="P146" t="s">
        <v>26</v>
      </c>
      <c r="Q146">
        <v>4</v>
      </c>
      <c r="R146" t="s">
        <v>582</v>
      </c>
      <c r="S146" t="s">
        <v>583</v>
      </c>
    </row>
    <row r="147" spans="1:19" x14ac:dyDescent="0.3">
      <c r="A147" t="s">
        <v>379</v>
      </c>
      <c r="B147" s="2">
        <v>45981</v>
      </c>
      <c r="C147" t="s">
        <v>130</v>
      </c>
      <c r="D147" t="s">
        <v>131</v>
      </c>
      <c r="E147" t="s">
        <v>19</v>
      </c>
      <c r="F147" t="s">
        <v>20</v>
      </c>
      <c r="G147" t="s">
        <v>57</v>
      </c>
      <c r="H147" t="s">
        <v>32</v>
      </c>
      <c r="I147" t="s">
        <v>58</v>
      </c>
      <c r="J147">
        <v>5</v>
      </c>
      <c r="K147">
        <v>605000</v>
      </c>
      <c r="L147">
        <v>0.05</v>
      </c>
      <c r="M147">
        <v>2873750</v>
      </c>
      <c r="N147" t="s">
        <v>53</v>
      </c>
      <c r="O147" t="s">
        <v>46</v>
      </c>
      <c r="P147" t="s">
        <v>61</v>
      </c>
      <c r="Q147">
        <v>11</v>
      </c>
      <c r="R147" t="s">
        <v>577</v>
      </c>
      <c r="S147" t="s">
        <v>578</v>
      </c>
    </row>
    <row r="148" spans="1:19" x14ac:dyDescent="0.3">
      <c r="A148" t="s">
        <v>442</v>
      </c>
      <c r="B148" s="2">
        <v>45706</v>
      </c>
      <c r="C148" t="s">
        <v>135</v>
      </c>
      <c r="D148" t="s">
        <v>50</v>
      </c>
      <c r="E148" t="s">
        <v>107</v>
      </c>
      <c r="F148" t="s">
        <v>108</v>
      </c>
      <c r="G148" t="s">
        <v>144</v>
      </c>
      <c r="H148" t="s">
        <v>32</v>
      </c>
      <c r="I148" t="s">
        <v>44</v>
      </c>
      <c r="J148">
        <v>12</v>
      </c>
      <c r="K148">
        <v>251000</v>
      </c>
      <c r="L148">
        <v>0.05</v>
      </c>
      <c r="M148">
        <v>2861400</v>
      </c>
      <c r="N148" t="s">
        <v>35</v>
      </c>
      <c r="O148" t="s">
        <v>46</v>
      </c>
      <c r="P148" t="s">
        <v>61</v>
      </c>
      <c r="Q148">
        <v>2</v>
      </c>
      <c r="R148" t="s">
        <v>579</v>
      </c>
      <c r="S148" t="s">
        <v>580</v>
      </c>
    </row>
    <row r="149" spans="1:19" x14ac:dyDescent="0.3">
      <c r="A149" t="s">
        <v>271</v>
      </c>
      <c r="B149" s="2">
        <v>45936</v>
      </c>
      <c r="C149" t="s">
        <v>159</v>
      </c>
      <c r="D149" t="s">
        <v>131</v>
      </c>
      <c r="E149" t="s">
        <v>84</v>
      </c>
      <c r="F149" t="s">
        <v>114</v>
      </c>
      <c r="G149" t="s">
        <v>341</v>
      </c>
      <c r="H149" t="s">
        <v>101</v>
      </c>
      <c r="I149" t="s">
        <v>102</v>
      </c>
      <c r="J149">
        <v>9</v>
      </c>
      <c r="K149">
        <v>122000</v>
      </c>
      <c r="L149">
        <v>0.02</v>
      </c>
      <c r="M149">
        <v>1076040</v>
      </c>
      <c r="N149" t="s">
        <v>53</v>
      </c>
      <c r="O149" t="s">
        <v>25</v>
      </c>
      <c r="P149" t="s">
        <v>61</v>
      </c>
      <c r="Q149">
        <v>10</v>
      </c>
      <c r="R149" t="s">
        <v>593</v>
      </c>
      <c r="S149" t="s">
        <v>578</v>
      </c>
    </row>
    <row r="150" spans="1:19" x14ac:dyDescent="0.3">
      <c r="A150" t="s">
        <v>333</v>
      </c>
      <c r="B150" s="2">
        <v>45811</v>
      </c>
      <c r="C150" t="s">
        <v>39</v>
      </c>
      <c r="D150" t="s">
        <v>40</v>
      </c>
      <c r="E150" t="s">
        <v>42</v>
      </c>
      <c r="F150" t="s">
        <v>42</v>
      </c>
      <c r="G150" t="s">
        <v>71</v>
      </c>
      <c r="H150" t="s">
        <v>32</v>
      </c>
      <c r="I150" t="s">
        <v>33</v>
      </c>
      <c r="J150">
        <v>8</v>
      </c>
      <c r="K150">
        <v>277000</v>
      </c>
      <c r="L150">
        <v>0</v>
      </c>
      <c r="M150">
        <v>2216000</v>
      </c>
      <c r="N150" t="s">
        <v>35</v>
      </c>
      <c r="O150" t="s">
        <v>95</v>
      </c>
      <c r="P150" t="s">
        <v>61</v>
      </c>
      <c r="Q150">
        <v>6</v>
      </c>
      <c r="R150" t="s">
        <v>589</v>
      </c>
      <c r="S150" t="s">
        <v>583</v>
      </c>
    </row>
    <row r="151" spans="1:19" x14ac:dyDescent="0.3">
      <c r="A151" t="s">
        <v>393</v>
      </c>
      <c r="B151" s="2">
        <v>45945</v>
      </c>
      <c r="C151" t="s">
        <v>159</v>
      </c>
      <c r="D151" t="s">
        <v>131</v>
      </c>
      <c r="E151" t="s">
        <v>84</v>
      </c>
      <c r="F151" t="s">
        <v>114</v>
      </c>
      <c r="G151" t="s">
        <v>74</v>
      </c>
      <c r="H151" t="s">
        <v>32</v>
      </c>
      <c r="I151" t="s">
        <v>33</v>
      </c>
      <c r="J151">
        <v>13</v>
      </c>
      <c r="K151">
        <v>81000</v>
      </c>
      <c r="L151">
        <v>0.05</v>
      </c>
      <c r="M151">
        <v>1000350</v>
      </c>
      <c r="N151" t="s">
        <v>53</v>
      </c>
      <c r="O151" t="s">
        <v>60</v>
      </c>
      <c r="P151" t="s">
        <v>61</v>
      </c>
      <c r="Q151">
        <v>10</v>
      </c>
      <c r="R151" t="s">
        <v>593</v>
      </c>
      <c r="S151" t="s">
        <v>578</v>
      </c>
    </row>
    <row r="152" spans="1:19" x14ac:dyDescent="0.3">
      <c r="A152" t="s">
        <v>241</v>
      </c>
      <c r="B152" s="2">
        <v>45892</v>
      </c>
      <c r="C152" t="s">
        <v>159</v>
      </c>
      <c r="D152" t="s">
        <v>131</v>
      </c>
      <c r="E152" t="s">
        <v>84</v>
      </c>
      <c r="F152" t="s">
        <v>114</v>
      </c>
      <c r="G152" t="s">
        <v>125</v>
      </c>
      <c r="H152" t="s">
        <v>32</v>
      </c>
      <c r="I152" t="s">
        <v>52</v>
      </c>
      <c r="J152">
        <v>10</v>
      </c>
      <c r="K152">
        <v>394000</v>
      </c>
      <c r="L152">
        <v>0.05</v>
      </c>
      <c r="M152">
        <v>-3743000</v>
      </c>
      <c r="N152" t="s">
        <v>53</v>
      </c>
      <c r="O152" t="s">
        <v>60</v>
      </c>
      <c r="P152" t="s">
        <v>183</v>
      </c>
      <c r="Q152">
        <v>8</v>
      </c>
      <c r="R152" t="s">
        <v>588</v>
      </c>
      <c r="S152" t="s">
        <v>586</v>
      </c>
    </row>
    <row r="153" spans="1:19" x14ac:dyDescent="0.3">
      <c r="A153" t="s">
        <v>202</v>
      </c>
      <c r="B153" s="2">
        <v>46005</v>
      </c>
      <c r="C153" t="s">
        <v>28</v>
      </c>
      <c r="D153" t="s">
        <v>29</v>
      </c>
      <c r="E153" t="s">
        <v>30</v>
      </c>
      <c r="F153" t="s">
        <v>20</v>
      </c>
      <c r="G153" t="s">
        <v>204</v>
      </c>
      <c r="H153" t="s">
        <v>101</v>
      </c>
      <c r="I153" t="s">
        <v>156</v>
      </c>
      <c r="J153">
        <v>1</v>
      </c>
      <c r="K153">
        <v>142000</v>
      </c>
      <c r="L153">
        <v>0.1</v>
      </c>
      <c r="M153">
        <v>0</v>
      </c>
      <c r="N153" t="s">
        <v>53</v>
      </c>
      <c r="O153" t="s">
        <v>36</v>
      </c>
      <c r="P153" t="s">
        <v>26</v>
      </c>
      <c r="Q153">
        <v>12</v>
      </c>
      <c r="R153" t="s">
        <v>590</v>
      </c>
      <c r="S153" t="s">
        <v>578</v>
      </c>
    </row>
    <row r="154" spans="1:19" x14ac:dyDescent="0.3">
      <c r="A154" t="s">
        <v>342</v>
      </c>
      <c r="B154" s="2">
        <v>45991</v>
      </c>
      <c r="C154" t="s">
        <v>82</v>
      </c>
      <c r="D154" t="s">
        <v>83</v>
      </c>
      <c r="E154" t="s">
        <v>84</v>
      </c>
      <c r="F154" t="s">
        <v>114</v>
      </c>
      <c r="G154" t="s">
        <v>235</v>
      </c>
      <c r="H154" t="s">
        <v>101</v>
      </c>
      <c r="I154" t="s">
        <v>156</v>
      </c>
      <c r="J154">
        <v>15</v>
      </c>
      <c r="K154">
        <v>165000</v>
      </c>
      <c r="L154">
        <v>0.02</v>
      </c>
      <c r="M154">
        <v>-2425500</v>
      </c>
      <c r="N154" t="s">
        <v>94</v>
      </c>
      <c r="O154" t="s">
        <v>60</v>
      </c>
      <c r="P154" t="s">
        <v>183</v>
      </c>
      <c r="Q154">
        <v>11</v>
      </c>
      <c r="R154" t="s">
        <v>577</v>
      </c>
      <c r="S154" t="s">
        <v>578</v>
      </c>
    </row>
    <row r="155" spans="1:19" x14ac:dyDescent="0.3">
      <c r="A155" t="s">
        <v>360</v>
      </c>
      <c r="B155" s="2">
        <v>45731</v>
      </c>
      <c r="C155" t="s">
        <v>17</v>
      </c>
      <c r="D155" t="s">
        <v>18</v>
      </c>
      <c r="E155" t="s">
        <v>19</v>
      </c>
      <c r="F155" t="s">
        <v>20</v>
      </c>
      <c r="G155" t="s">
        <v>57</v>
      </c>
      <c r="H155" t="s">
        <v>32</v>
      </c>
      <c r="I155" t="s">
        <v>58</v>
      </c>
      <c r="J155">
        <v>5</v>
      </c>
      <c r="K155">
        <v>688000</v>
      </c>
      <c r="L155">
        <v>0.05</v>
      </c>
      <c r="M155">
        <v>3268000</v>
      </c>
      <c r="N155" t="s">
        <v>86</v>
      </c>
      <c r="O155" t="s">
        <v>36</v>
      </c>
      <c r="P155" t="s">
        <v>61</v>
      </c>
      <c r="Q155">
        <v>3</v>
      </c>
      <c r="R155" t="s">
        <v>592</v>
      </c>
      <c r="S155" t="s">
        <v>580</v>
      </c>
    </row>
    <row r="156" spans="1:19" x14ac:dyDescent="0.3">
      <c r="A156" t="s">
        <v>432</v>
      </c>
      <c r="B156" s="2">
        <v>45935</v>
      </c>
      <c r="C156" t="s">
        <v>63</v>
      </c>
      <c r="D156" t="s">
        <v>18</v>
      </c>
      <c r="E156" t="s">
        <v>42</v>
      </c>
      <c r="F156" t="s">
        <v>42</v>
      </c>
      <c r="G156" t="s">
        <v>64</v>
      </c>
      <c r="H156" t="s">
        <v>32</v>
      </c>
      <c r="I156" t="s">
        <v>65</v>
      </c>
      <c r="J156">
        <v>8</v>
      </c>
      <c r="K156">
        <v>596000</v>
      </c>
      <c r="L156">
        <v>0.02</v>
      </c>
      <c r="M156">
        <v>-4672640</v>
      </c>
      <c r="N156" t="s">
        <v>94</v>
      </c>
      <c r="O156" t="s">
        <v>46</v>
      </c>
      <c r="P156" t="s">
        <v>183</v>
      </c>
      <c r="Q156">
        <v>10</v>
      </c>
      <c r="R156" t="s">
        <v>593</v>
      </c>
      <c r="S156" t="s">
        <v>578</v>
      </c>
    </row>
    <row r="157" spans="1:19" x14ac:dyDescent="0.3">
      <c r="A157" t="s">
        <v>458</v>
      </c>
      <c r="B157" s="2">
        <v>45872</v>
      </c>
      <c r="C157" t="s">
        <v>130</v>
      </c>
      <c r="D157" t="s">
        <v>131</v>
      </c>
      <c r="E157" t="s">
        <v>19</v>
      </c>
      <c r="F157" t="s">
        <v>20</v>
      </c>
      <c r="G157" t="s">
        <v>204</v>
      </c>
      <c r="H157" t="s">
        <v>101</v>
      </c>
      <c r="I157" t="s">
        <v>156</v>
      </c>
      <c r="J157">
        <v>10</v>
      </c>
      <c r="K157">
        <v>142000</v>
      </c>
      <c r="L157">
        <v>0.05</v>
      </c>
      <c r="M157">
        <v>1349000</v>
      </c>
      <c r="N157" t="s">
        <v>86</v>
      </c>
      <c r="O157" t="s">
        <v>145</v>
      </c>
      <c r="P157" t="s">
        <v>61</v>
      </c>
      <c r="Q157">
        <v>8</v>
      </c>
      <c r="R157" t="s">
        <v>588</v>
      </c>
      <c r="S157" t="s">
        <v>586</v>
      </c>
    </row>
    <row r="158" spans="1:19" x14ac:dyDescent="0.3">
      <c r="A158" t="s">
        <v>288</v>
      </c>
      <c r="B158" s="2">
        <v>45771</v>
      </c>
      <c r="C158" t="s">
        <v>67</v>
      </c>
      <c r="D158" t="s">
        <v>68</v>
      </c>
      <c r="E158" t="s">
        <v>69</v>
      </c>
      <c r="F158" t="s">
        <v>70</v>
      </c>
      <c r="G158" t="s">
        <v>235</v>
      </c>
      <c r="H158" t="s">
        <v>101</v>
      </c>
      <c r="I158" t="s">
        <v>156</v>
      </c>
      <c r="J158">
        <v>4</v>
      </c>
      <c r="K158">
        <v>191000</v>
      </c>
      <c r="L158">
        <v>0.02</v>
      </c>
      <c r="M158">
        <v>748720</v>
      </c>
      <c r="N158" t="s">
        <v>53</v>
      </c>
      <c r="O158" t="s">
        <v>145</v>
      </c>
      <c r="P158" t="s">
        <v>61</v>
      </c>
      <c r="Q158">
        <v>4</v>
      </c>
      <c r="R158" t="s">
        <v>582</v>
      </c>
      <c r="S158" t="s">
        <v>583</v>
      </c>
    </row>
    <row r="159" spans="1:19" x14ac:dyDescent="0.3">
      <c r="A159" t="s">
        <v>192</v>
      </c>
      <c r="B159" s="2">
        <v>45691</v>
      </c>
      <c r="C159" t="s">
        <v>89</v>
      </c>
      <c r="D159" t="s">
        <v>90</v>
      </c>
      <c r="E159" t="s">
        <v>19</v>
      </c>
      <c r="F159" t="s">
        <v>20</v>
      </c>
      <c r="G159" t="s">
        <v>125</v>
      </c>
      <c r="H159" t="s">
        <v>32</v>
      </c>
      <c r="I159" t="s">
        <v>52</v>
      </c>
      <c r="J159">
        <v>4</v>
      </c>
      <c r="K159">
        <v>380000</v>
      </c>
      <c r="L159">
        <v>0</v>
      </c>
      <c r="M159">
        <v>1520000</v>
      </c>
      <c r="N159" t="s">
        <v>86</v>
      </c>
      <c r="O159" t="s">
        <v>36</v>
      </c>
      <c r="P159" t="s">
        <v>87</v>
      </c>
      <c r="Q159">
        <v>2</v>
      </c>
      <c r="R159" t="s">
        <v>579</v>
      </c>
      <c r="S159" t="s">
        <v>580</v>
      </c>
    </row>
    <row r="160" spans="1:19" x14ac:dyDescent="0.3">
      <c r="A160" t="s">
        <v>595</v>
      </c>
      <c r="B160" s="2">
        <v>45988</v>
      </c>
      <c r="C160" t="s">
        <v>190</v>
      </c>
      <c r="D160" t="s">
        <v>191</v>
      </c>
      <c r="E160" t="s">
        <v>42</v>
      </c>
      <c r="F160" t="s">
        <v>42</v>
      </c>
      <c r="G160" t="s">
        <v>295</v>
      </c>
      <c r="H160" t="s">
        <v>32</v>
      </c>
      <c r="I160" t="s">
        <v>58</v>
      </c>
      <c r="J160">
        <v>1</v>
      </c>
      <c r="K160">
        <v>397000</v>
      </c>
      <c r="L160">
        <v>0.02</v>
      </c>
      <c r="M160">
        <v>389060</v>
      </c>
      <c r="N160" t="s">
        <v>35</v>
      </c>
      <c r="O160" t="s">
        <v>36</v>
      </c>
      <c r="P160" t="s">
        <v>61</v>
      </c>
      <c r="Q160">
        <v>11</v>
      </c>
      <c r="R160" t="s">
        <v>577</v>
      </c>
      <c r="S160" t="s">
        <v>578</v>
      </c>
    </row>
    <row r="161" spans="1:19" x14ac:dyDescent="0.3">
      <c r="A161" t="s">
        <v>261</v>
      </c>
      <c r="B161" s="2">
        <v>45695</v>
      </c>
      <c r="C161" t="s">
        <v>113</v>
      </c>
      <c r="D161" t="s">
        <v>29</v>
      </c>
      <c r="E161" t="s">
        <v>84</v>
      </c>
      <c r="F161" t="s">
        <v>114</v>
      </c>
      <c r="G161" t="s">
        <v>21</v>
      </c>
      <c r="H161" t="s">
        <v>22</v>
      </c>
      <c r="I161" t="s">
        <v>23</v>
      </c>
      <c r="J161">
        <v>10</v>
      </c>
      <c r="K161">
        <v>19000</v>
      </c>
      <c r="L161">
        <v>0</v>
      </c>
      <c r="M161">
        <v>190000</v>
      </c>
      <c r="N161" t="s">
        <v>53</v>
      </c>
      <c r="O161" t="s">
        <v>46</v>
      </c>
      <c r="P161" t="s">
        <v>61</v>
      </c>
      <c r="Q161">
        <v>2</v>
      </c>
      <c r="R161" t="s">
        <v>579</v>
      </c>
      <c r="S161" t="s">
        <v>580</v>
      </c>
    </row>
    <row r="162" spans="1:19" x14ac:dyDescent="0.3">
      <c r="A162" t="s">
        <v>48</v>
      </c>
      <c r="B162" s="2">
        <v>45965</v>
      </c>
      <c r="C162" t="s">
        <v>49</v>
      </c>
      <c r="D162" t="s">
        <v>50</v>
      </c>
      <c r="E162" t="s">
        <v>19</v>
      </c>
      <c r="F162" t="s">
        <v>20</v>
      </c>
      <c r="G162" t="s">
        <v>125</v>
      </c>
      <c r="H162" t="s">
        <v>32</v>
      </c>
      <c r="I162" t="s">
        <v>52</v>
      </c>
      <c r="J162">
        <v>14</v>
      </c>
      <c r="K162">
        <v>343000</v>
      </c>
      <c r="L162">
        <v>0</v>
      </c>
      <c r="M162">
        <v>4802000</v>
      </c>
      <c r="N162" t="s">
        <v>53</v>
      </c>
      <c r="O162" t="s">
        <v>46</v>
      </c>
      <c r="P162" t="s">
        <v>61</v>
      </c>
      <c r="Q162">
        <v>11</v>
      </c>
      <c r="R162" t="s">
        <v>577</v>
      </c>
      <c r="S162" t="s">
        <v>578</v>
      </c>
    </row>
    <row r="163" spans="1:19" x14ac:dyDescent="0.3">
      <c r="A163" t="s">
        <v>290</v>
      </c>
      <c r="B163" s="2">
        <v>45716</v>
      </c>
      <c r="C163" t="s">
        <v>49</v>
      </c>
      <c r="D163" t="s">
        <v>50</v>
      </c>
      <c r="E163" t="s">
        <v>19</v>
      </c>
      <c r="F163" t="s">
        <v>20</v>
      </c>
      <c r="G163" t="s">
        <v>128</v>
      </c>
      <c r="H163" t="s">
        <v>22</v>
      </c>
      <c r="I163" t="s">
        <v>92</v>
      </c>
      <c r="J163">
        <v>1</v>
      </c>
      <c r="K163">
        <v>205000</v>
      </c>
      <c r="L163">
        <v>0.02</v>
      </c>
      <c r="M163">
        <v>200900</v>
      </c>
      <c r="N163" t="s">
        <v>53</v>
      </c>
      <c r="O163" t="s">
        <v>75</v>
      </c>
      <c r="P163" t="s">
        <v>61</v>
      </c>
      <c r="Q163">
        <v>2</v>
      </c>
      <c r="R163" t="s">
        <v>579</v>
      </c>
      <c r="S163" t="s">
        <v>580</v>
      </c>
    </row>
    <row r="164" spans="1:19" x14ac:dyDescent="0.3">
      <c r="A164" t="s">
        <v>447</v>
      </c>
      <c r="B164" s="2">
        <v>45749</v>
      </c>
      <c r="C164" t="s">
        <v>147</v>
      </c>
      <c r="D164" t="s">
        <v>18</v>
      </c>
      <c r="E164" t="s">
        <v>148</v>
      </c>
      <c r="F164" t="s">
        <v>149</v>
      </c>
      <c r="G164" t="s">
        <v>57</v>
      </c>
      <c r="H164" t="s">
        <v>32</v>
      </c>
      <c r="I164" t="s">
        <v>58</v>
      </c>
      <c r="J164">
        <v>3</v>
      </c>
      <c r="K164">
        <v>715000</v>
      </c>
      <c r="L164">
        <v>0.05</v>
      </c>
      <c r="M164">
        <v>0</v>
      </c>
      <c r="N164" t="s">
        <v>86</v>
      </c>
      <c r="O164" t="s">
        <v>60</v>
      </c>
      <c r="P164" t="s">
        <v>26</v>
      </c>
      <c r="Q164">
        <v>4</v>
      </c>
      <c r="R164" t="s">
        <v>582</v>
      </c>
      <c r="S164" t="s">
        <v>583</v>
      </c>
    </row>
    <row r="165" spans="1:19" x14ac:dyDescent="0.3">
      <c r="A165" t="s">
        <v>245</v>
      </c>
      <c r="B165" s="2">
        <v>45903</v>
      </c>
      <c r="C165" t="s">
        <v>67</v>
      </c>
      <c r="D165" t="s">
        <v>68</v>
      </c>
      <c r="E165" t="s">
        <v>69</v>
      </c>
      <c r="F165" t="s">
        <v>70</v>
      </c>
      <c r="G165" t="s">
        <v>109</v>
      </c>
      <c r="H165" t="s">
        <v>32</v>
      </c>
      <c r="I165" t="s">
        <v>44</v>
      </c>
      <c r="J165">
        <v>9</v>
      </c>
      <c r="K165">
        <v>149000</v>
      </c>
      <c r="L165">
        <v>0.1</v>
      </c>
      <c r="M165">
        <v>1206900</v>
      </c>
      <c r="N165" t="s">
        <v>94</v>
      </c>
      <c r="O165" t="s">
        <v>36</v>
      </c>
      <c r="P165" t="s">
        <v>61</v>
      </c>
      <c r="Q165">
        <v>9</v>
      </c>
      <c r="R165" t="s">
        <v>591</v>
      </c>
      <c r="S165" t="s">
        <v>586</v>
      </c>
    </row>
    <row r="166" spans="1:19" x14ac:dyDescent="0.3">
      <c r="A166" t="s">
        <v>284</v>
      </c>
      <c r="B166" s="2">
        <v>45974</v>
      </c>
      <c r="C166" t="s">
        <v>17</v>
      </c>
      <c r="D166" t="s">
        <v>18</v>
      </c>
      <c r="E166" t="s">
        <v>19</v>
      </c>
      <c r="F166" t="s">
        <v>20</v>
      </c>
      <c r="G166" t="s">
        <v>341</v>
      </c>
      <c r="H166" t="s">
        <v>101</v>
      </c>
      <c r="I166" t="s">
        <v>102</v>
      </c>
      <c r="J166">
        <v>5</v>
      </c>
      <c r="K166">
        <v>109000</v>
      </c>
      <c r="L166">
        <v>0.05</v>
      </c>
      <c r="M166">
        <v>-517750</v>
      </c>
      <c r="N166" t="s">
        <v>86</v>
      </c>
      <c r="O166" t="s">
        <v>75</v>
      </c>
      <c r="P166" t="s">
        <v>183</v>
      </c>
      <c r="Q166">
        <v>11</v>
      </c>
      <c r="R166" t="s">
        <v>577</v>
      </c>
      <c r="S166" t="s">
        <v>578</v>
      </c>
    </row>
    <row r="167" spans="1:19" x14ac:dyDescent="0.3">
      <c r="A167" t="s">
        <v>207</v>
      </c>
      <c r="B167" s="2">
        <v>45905</v>
      </c>
      <c r="C167" t="s">
        <v>89</v>
      </c>
      <c r="D167" t="s">
        <v>90</v>
      </c>
      <c r="E167" t="s">
        <v>19</v>
      </c>
      <c r="F167" t="s">
        <v>20</v>
      </c>
      <c r="G167" t="s">
        <v>208</v>
      </c>
      <c r="H167" t="s">
        <v>209</v>
      </c>
      <c r="I167" t="s">
        <v>65</v>
      </c>
      <c r="J167">
        <v>11</v>
      </c>
      <c r="K167">
        <v>105000</v>
      </c>
      <c r="L167">
        <v>0</v>
      </c>
      <c r="M167">
        <v>1155000</v>
      </c>
      <c r="N167" t="s">
        <v>94</v>
      </c>
      <c r="O167" t="s">
        <v>60</v>
      </c>
      <c r="P167" t="s">
        <v>87</v>
      </c>
      <c r="Q167">
        <v>9</v>
      </c>
      <c r="R167" t="s">
        <v>591</v>
      </c>
      <c r="S167" t="s">
        <v>586</v>
      </c>
    </row>
    <row r="168" spans="1:19" x14ac:dyDescent="0.3">
      <c r="A168" t="s">
        <v>127</v>
      </c>
      <c r="B168" s="2">
        <v>45701</v>
      </c>
      <c r="C168" t="s">
        <v>39</v>
      </c>
      <c r="D168" t="s">
        <v>40</v>
      </c>
      <c r="E168" t="s">
        <v>42</v>
      </c>
      <c r="F168" t="s">
        <v>42</v>
      </c>
      <c r="G168" t="s">
        <v>128</v>
      </c>
      <c r="H168" t="s">
        <v>22</v>
      </c>
      <c r="I168" t="s">
        <v>92</v>
      </c>
      <c r="J168">
        <v>2</v>
      </c>
      <c r="K168">
        <v>188000</v>
      </c>
      <c r="L168">
        <v>0</v>
      </c>
      <c r="M168">
        <v>376000</v>
      </c>
      <c r="N168" t="s">
        <v>53</v>
      </c>
      <c r="O168" t="s">
        <v>95</v>
      </c>
      <c r="P168" t="s">
        <v>61</v>
      </c>
      <c r="Q168">
        <v>2</v>
      </c>
      <c r="R168" t="s">
        <v>579</v>
      </c>
      <c r="S168" t="s">
        <v>580</v>
      </c>
    </row>
    <row r="169" spans="1:19" x14ac:dyDescent="0.3">
      <c r="A169" t="s">
        <v>136</v>
      </c>
      <c r="B169" s="2">
        <v>45965</v>
      </c>
      <c r="C169" t="s">
        <v>106</v>
      </c>
      <c r="D169" t="s">
        <v>50</v>
      </c>
      <c r="E169" t="s">
        <v>107</v>
      </c>
      <c r="F169" t="s">
        <v>108</v>
      </c>
      <c r="G169" t="s">
        <v>137</v>
      </c>
      <c r="H169" t="s">
        <v>138</v>
      </c>
      <c r="I169" t="s">
        <v>138</v>
      </c>
      <c r="J169">
        <v>8</v>
      </c>
      <c r="K169">
        <v>26000</v>
      </c>
      <c r="L169">
        <v>0.1</v>
      </c>
      <c r="M169">
        <v>0</v>
      </c>
      <c r="N169" t="s">
        <v>94</v>
      </c>
      <c r="O169" t="s">
        <v>60</v>
      </c>
      <c r="P169" t="s">
        <v>26</v>
      </c>
      <c r="Q169">
        <v>11</v>
      </c>
      <c r="R169" t="s">
        <v>577</v>
      </c>
      <c r="S169" t="s">
        <v>578</v>
      </c>
    </row>
    <row r="170" spans="1:19" x14ac:dyDescent="0.3">
      <c r="A170" t="s">
        <v>453</v>
      </c>
      <c r="B170" s="2">
        <v>46019</v>
      </c>
      <c r="C170" t="s">
        <v>130</v>
      </c>
      <c r="D170" t="s">
        <v>131</v>
      </c>
      <c r="E170" t="s">
        <v>19</v>
      </c>
      <c r="F170" t="s">
        <v>20</v>
      </c>
      <c r="G170" t="s">
        <v>178</v>
      </c>
      <c r="H170" t="s">
        <v>101</v>
      </c>
      <c r="I170" t="s">
        <v>179</v>
      </c>
      <c r="J170">
        <v>12</v>
      </c>
      <c r="K170">
        <v>85000</v>
      </c>
      <c r="L170">
        <v>0</v>
      </c>
      <c r="M170">
        <v>1020000</v>
      </c>
      <c r="N170" t="s">
        <v>94</v>
      </c>
      <c r="O170" t="s">
        <v>36</v>
      </c>
      <c r="P170" t="s">
        <v>87</v>
      </c>
      <c r="Q170">
        <v>12</v>
      </c>
      <c r="R170" t="s">
        <v>590</v>
      </c>
      <c r="S170" t="s">
        <v>578</v>
      </c>
    </row>
    <row r="171" spans="1:19" x14ac:dyDescent="0.3">
      <c r="A171" t="s">
        <v>346</v>
      </c>
      <c r="B171" s="2">
        <v>45871</v>
      </c>
      <c r="C171" t="s">
        <v>39</v>
      </c>
      <c r="D171" t="s">
        <v>40</v>
      </c>
      <c r="E171" t="s">
        <v>42</v>
      </c>
      <c r="F171" t="s">
        <v>42</v>
      </c>
      <c r="G171" t="s">
        <v>235</v>
      </c>
      <c r="H171" t="s">
        <v>101</v>
      </c>
      <c r="I171" t="s">
        <v>156</v>
      </c>
      <c r="J171">
        <v>7</v>
      </c>
      <c r="K171">
        <v>187000</v>
      </c>
      <c r="L171">
        <v>0.05</v>
      </c>
      <c r="M171">
        <v>-1243550</v>
      </c>
      <c r="N171" t="s">
        <v>86</v>
      </c>
      <c r="O171" t="s">
        <v>145</v>
      </c>
      <c r="P171" t="s">
        <v>183</v>
      </c>
      <c r="Q171">
        <v>8</v>
      </c>
      <c r="R171" t="s">
        <v>588</v>
      </c>
      <c r="S171" t="s">
        <v>586</v>
      </c>
    </row>
    <row r="172" spans="1:19" x14ac:dyDescent="0.3">
      <c r="A172" t="s">
        <v>375</v>
      </c>
      <c r="B172" s="2">
        <v>45878</v>
      </c>
      <c r="C172" t="s">
        <v>39</v>
      </c>
      <c r="D172" t="s">
        <v>40</v>
      </c>
      <c r="E172" t="s">
        <v>42</v>
      </c>
      <c r="F172" t="s">
        <v>42</v>
      </c>
      <c r="G172" t="s">
        <v>125</v>
      </c>
      <c r="H172" t="s">
        <v>32</v>
      </c>
      <c r="I172" t="s">
        <v>52</v>
      </c>
      <c r="J172">
        <v>6</v>
      </c>
      <c r="K172">
        <v>372000</v>
      </c>
      <c r="L172">
        <v>0</v>
      </c>
      <c r="M172">
        <v>-2232000</v>
      </c>
      <c r="N172" t="s">
        <v>94</v>
      </c>
      <c r="O172" t="s">
        <v>60</v>
      </c>
      <c r="P172" t="s">
        <v>183</v>
      </c>
      <c r="Q172">
        <v>8</v>
      </c>
      <c r="R172" t="s">
        <v>588</v>
      </c>
      <c r="S172" t="s">
        <v>586</v>
      </c>
    </row>
    <row r="173" spans="1:19" x14ac:dyDescent="0.3">
      <c r="A173" t="s">
        <v>182</v>
      </c>
      <c r="B173" s="2">
        <v>45706</v>
      </c>
      <c r="C173" t="s">
        <v>82</v>
      </c>
      <c r="D173" t="s">
        <v>83</v>
      </c>
      <c r="E173" t="s">
        <v>84</v>
      </c>
      <c r="F173" t="s">
        <v>114</v>
      </c>
      <c r="G173" t="s">
        <v>74</v>
      </c>
      <c r="H173" t="s">
        <v>32</v>
      </c>
      <c r="I173" t="s">
        <v>33</v>
      </c>
      <c r="J173">
        <v>7</v>
      </c>
      <c r="K173">
        <v>75000</v>
      </c>
      <c r="L173">
        <v>0</v>
      </c>
      <c r="M173">
        <v>-525000</v>
      </c>
      <c r="N173" t="s">
        <v>53</v>
      </c>
      <c r="O173" t="s">
        <v>46</v>
      </c>
      <c r="P173" t="s">
        <v>183</v>
      </c>
      <c r="Q173">
        <v>2</v>
      </c>
      <c r="R173" t="s">
        <v>579</v>
      </c>
      <c r="S173" t="s">
        <v>580</v>
      </c>
    </row>
    <row r="174" spans="1:19" x14ac:dyDescent="0.3">
      <c r="A174" t="s">
        <v>405</v>
      </c>
      <c r="B174" s="2">
        <v>45944</v>
      </c>
      <c r="C174" t="s">
        <v>17</v>
      </c>
      <c r="D174" t="s">
        <v>18</v>
      </c>
      <c r="E174" t="s">
        <v>19</v>
      </c>
      <c r="F174" t="s">
        <v>20</v>
      </c>
      <c r="G174" t="s">
        <v>178</v>
      </c>
      <c r="H174" t="s">
        <v>101</v>
      </c>
      <c r="I174" t="s">
        <v>179</v>
      </c>
      <c r="J174">
        <v>9</v>
      </c>
      <c r="K174">
        <v>97000</v>
      </c>
      <c r="L174">
        <v>0.02</v>
      </c>
      <c r="M174">
        <v>-855540</v>
      </c>
      <c r="N174" t="s">
        <v>86</v>
      </c>
      <c r="O174" t="s">
        <v>95</v>
      </c>
      <c r="P174" t="s">
        <v>183</v>
      </c>
      <c r="Q174">
        <v>10</v>
      </c>
      <c r="R174" t="s">
        <v>593</v>
      </c>
      <c r="S174" t="s">
        <v>578</v>
      </c>
    </row>
    <row r="175" spans="1:19" x14ac:dyDescent="0.3">
      <c r="A175" t="s">
        <v>55</v>
      </c>
      <c r="B175" s="2">
        <v>45841</v>
      </c>
      <c r="C175" t="s">
        <v>56</v>
      </c>
      <c r="D175" t="s">
        <v>18</v>
      </c>
      <c r="E175" t="s">
        <v>42</v>
      </c>
      <c r="F175" t="s">
        <v>42</v>
      </c>
      <c r="G175" t="s">
        <v>57</v>
      </c>
      <c r="H175" t="s">
        <v>32</v>
      </c>
      <c r="I175" t="s">
        <v>58</v>
      </c>
      <c r="J175">
        <v>5</v>
      </c>
      <c r="K175">
        <v>640000</v>
      </c>
      <c r="L175">
        <v>0.1</v>
      </c>
      <c r="M175">
        <v>2880000</v>
      </c>
      <c r="N175" t="s">
        <v>53</v>
      </c>
      <c r="O175" t="s">
        <v>60</v>
      </c>
      <c r="P175" t="s">
        <v>61</v>
      </c>
      <c r="Q175">
        <v>7</v>
      </c>
      <c r="R175" t="s">
        <v>585</v>
      </c>
      <c r="S175" t="s">
        <v>586</v>
      </c>
    </row>
    <row r="176" spans="1:19" x14ac:dyDescent="0.3">
      <c r="A176" t="s">
        <v>172</v>
      </c>
      <c r="B176" s="2">
        <v>45955</v>
      </c>
      <c r="C176" t="s">
        <v>106</v>
      </c>
      <c r="D176" t="s">
        <v>50</v>
      </c>
      <c r="E176" t="s">
        <v>107</v>
      </c>
      <c r="F176" t="s">
        <v>108</v>
      </c>
      <c r="G176" t="s">
        <v>21</v>
      </c>
      <c r="H176" t="s">
        <v>22</v>
      </c>
      <c r="I176" t="s">
        <v>23</v>
      </c>
      <c r="J176">
        <v>3</v>
      </c>
      <c r="K176">
        <v>19000</v>
      </c>
      <c r="L176">
        <v>0.05</v>
      </c>
      <c r="M176">
        <v>54150</v>
      </c>
      <c r="N176" t="s">
        <v>86</v>
      </c>
      <c r="O176" t="s">
        <v>145</v>
      </c>
      <c r="P176" t="s">
        <v>61</v>
      </c>
      <c r="Q176">
        <v>10</v>
      </c>
      <c r="R176" t="s">
        <v>593</v>
      </c>
      <c r="S176" t="s">
        <v>578</v>
      </c>
    </row>
    <row r="177" spans="1:19" x14ac:dyDescent="0.3">
      <c r="A177" t="s">
        <v>255</v>
      </c>
      <c r="B177" s="2">
        <v>45944</v>
      </c>
      <c r="C177" t="s">
        <v>159</v>
      </c>
      <c r="D177" t="s">
        <v>131</v>
      </c>
      <c r="E177" t="s">
        <v>84</v>
      </c>
      <c r="F177" t="s">
        <v>114</v>
      </c>
      <c r="G177" t="s">
        <v>71</v>
      </c>
      <c r="H177" t="s">
        <v>32</v>
      </c>
      <c r="I177" t="s">
        <v>33</v>
      </c>
      <c r="J177">
        <v>13</v>
      </c>
      <c r="K177">
        <v>287000</v>
      </c>
      <c r="L177">
        <v>0.02</v>
      </c>
      <c r="M177">
        <v>0</v>
      </c>
      <c r="N177" t="s">
        <v>35</v>
      </c>
      <c r="O177" t="s">
        <v>95</v>
      </c>
      <c r="P177" t="s">
        <v>26</v>
      </c>
      <c r="Q177">
        <v>10</v>
      </c>
      <c r="R177" t="s">
        <v>593</v>
      </c>
      <c r="S177" t="s">
        <v>578</v>
      </c>
    </row>
    <row r="178" spans="1:19" x14ac:dyDescent="0.3">
      <c r="A178" t="s">
        <v>471</v>
      </c>
      <c r="B178" s="2">
        <v>45947</v>
      </c>
      <c r="C178" t="s">
        <v>190</v>
      </c>
      <c r="D178" t="s">
        <v>191</v>
      </c>
      <c r="E178" t="s">
        <v>42</v>
      </c>
      <c r="F178" t="s">
        <v>42</v>
      </c>
      <c r="G178" t="s">
        <v>178</v>
      </c>
      <c r="H178" t="s">
        <v>101</v>
      </c>
      <c r="I178" t="s">
        <v>179</v>
      </c>
      <c r="J178">
        <v>1</v>
      </c>
      <c r="K178">
        <v>101000</v>
      </c>
      <c r="L178">
        <v>0.1</v>
      </c>
      <c r="M178">
        <v>-90900</v>
      </c>
      <c r="N178" t="s">
        <v>53</v>
      </c>
      <c r="O178" t="s">
        <v>75</v>
      </c>
      <c r="P178" t="s">
        <v>183</v>
      </c>
      <c r="Q178">
        <v>10</v>
      </c>
      <c r="R178" t="s">
        <v>593</v>
      </c>
      <c r="S178" t="s">
        <v>578</v>
      </c>
    </row>
    <row r="179" spans="1:19" x14ac:dyDescent="0.3">
      <c r="A179" t="s">
        <v>401</v>
      </c>
      <c r="B179" s="2">
        <v>45752</v>
      </c>
      <c r="C179" t="s">
        <v>147</v>
      </c>
      <c r="D179" t="s">
        <v>18</v>
      </c>
      <c r="E179" t="s">
        <v>148</v>
      </c>
      <c r="F179" t="s">
        <v>149</v>
      </c>
      <c r="G179" t="s">
        <v>137</v>
      </c>
      <c r="H179" t="s">
        <v>138</v>
      </c>
      <c r="I179" t="s">
        <v>138</v>
      </c>
      <c r="J179">
        <v>15</v>
      </c>
      <c r="K179">
        <v>28000</v>
      </c>
      <c r="L179">
        <v>0.02</v>
      </c>
      <c r="M179">
        <v>411600</v>
      </c>
      <c r="N179" t="s">
        <v>86</v>
      </c>
      <c r="O179" t="s">
        <v>46</v>
      </c>
      <c r="P179" t="s">
        <v>61</v>
      </c>
      <c r="Q179">
        <v>4</v>
      </c>
      <c r="R179" t="s">
        <v>582</v>
      </c>
      <c r="S179" t="s">
        <v>583</v>
      </c>
    </row>
    <row r="180" spans="1:19" x14ac:dyDescent="0.3">
      <c r="A180" t="s">
        <v>415</v>
      </c>
      <c r="B180" s="2">
        <v>45733</v>
      </c>
      <c r="C180" t="s">
        <v>214</v>
      </c>
      <c r="D180" t="s">
        <v>102</v>
      </c>
      <c r="E180" t="s">
        <v>19</v>
      </c>
      <c r="F180" t="s">
        <v>20</v>
      </c>
      <c r="G180" t="s">
        <v>64</v>
      </c>
      <c r="H180" t="s">
        <v>32</v>
      </c>
      <c r="I180" t="s">
        <v>65</v>
      </c>
      <c r="J180">
        <v>2</v>
      </c>
      <c r="K180">
        <v>589000</v>
      </c>
      <c r="L180">
        <v>0</v>
      </c>
      <c r="M180">
        <v>-1178000</v>
      </c>
      <c r="N180" t="s">
        <v>86</v>
      </c>
      <c r="O180" t="s">
        <v>60</v>
      </c>
      <c r="P180" t="s">
        <v>183</v>
      </c>
      <c r="Q180">
        <v>3</v>
      </c>
      <c r="R180" t="s">
        <v>592</v>
      </c>
      <c r="S180" t="s">
        <v>580</v>
      </c>
    </row>
    <row r="181" spans="1:19" x14ac:dyDescent="0.3">
      <c r="A181" t="s">
        <v>310</v>
      </c>
      <c r="B181" s="2">
        <v>45931</v>
      </c>
      <c r="C181" t="s">
        <v>154</v>
      </c>
      <c r="D181" t="s">
        <v>131</v>
      </c>
      <c r="E181" t="s">
        <v>19</v>
      </c>
      <c r="F181" t="s">
        <v>20</v>
      </c>
      <c r="G181" t="s">
        <v>64</v>
      </c>
      <c r="H181" t="s">
        <v>32</v>
      </c>
      <c r="I181" t="s">
        <v>65</v>
      </c>
      <c r="J181">
        <v>7</v>
      </c>
      <c r="K181">
        <v>477000</v>
      </c>
      <c r="L181">
        <v>0.05</v>
      </c>
      <c r="M181">
        <v>3172050</v>
      </c>
      <c r="N181" t="s">
        <v>35</v>
      </c>
      <c r="O181" t="s">
        <v>145</v>
      </c>
      <c r="P181" t="s">
        <v>61</v>
      </c>
      <c r="Q181">
        <v>10</v>
      </c>
      <c r="R181" t="s">
        <v>593</v>
      </c>
      <c r="S181" t="s">
        <v>578</v>
      </c>
    </row>
    <row r="182" spans="1:19" x14ac:dyDescent="0.3">
      <c r="A182" t="s">
        <v>466</v>
      </c>
      <c r="B182" s="2">
        <v>45819</v>
      </c>
      <c r="C182" t="s">
        <v>39</v>
      </c>
      <c r="D182" t="s">
        <v>40</v>
      </c>
      <c r="E182" t="s">
        <v>42</v>
      </c>
      <c r="F182" t="s">
        <v>42</v>
      </c>
      <c r="G182" t="s">
        <v>74</v>
      </c>
      <c r="H182" t="s">
        <v>32</v>
      </c>
      <c r="I182" t="s">
        <v>33</v>
      </c>
      <c r="J182">
        <v>15</v>
      </c>
      <c r="K182">
        <v>83000</v>
      </c>
      <c r="L182">
        <v>0</v>
      </c>
      <c r="M182">
        <v>1245000</v>
      </c>
      <c r="N182" t="s">
        <v>35</v>
      </c>
      <c r="O182" t="s">
        <v>75</v>
      </c>
      <c r="P182" t="s">
        <v>61</v>
      </c>
      <c r="Q182">
        <v>6</v>
      </c>
      <c r="R182" t="s">
        <v>589</v>
      </c>
      <c r="S182" t="s">
        <v>583</v>
      </c>
    </row>
    <row r="183" spans="1:19" x14ac:dyDescent="0.3">
      <c r="A183" t="s">
        <v>196</v>
      </c>
      <c r="B183" s="2">
        <v>46005</v>
      </c>
      <c r="C183" t="s">
        <v>82</v>
      </c>
      <c r="D183" t="s">
        <v>83</v>
      </c>
      <c r="E183" t="s">
        <v>84</v>
      </c>
      <c r="F183" t="s">
        <v>114</v>
      </c>
      <c r="G183" t="s">
        <v>125</v>
      </c>
      <c r="H183" t="s">
        <v>32</v>
      </c>
      <c r="I183" t="s">
        <v>52</v>
      </c>
      <c r="J183">
        <v>8</v>
      </c>
      <c r="K183">
        <v>319000</v>
      </c>
      <c r="L183">
        <v>0.05</v>
      </c>
      <c r="M183">
        <v>2424400</v>
      </c>
      <c r="N183" t="s">
        <v>94</v>
      </c>
      <c r="O183" t="s">
        <v>95</v>
      </c>
      <c r="P183" t="s">
        <v>87</v>
      </c>
      <c r="Q183">
        <v>12</v>
      </c>
      <c r="R183" t="s">
        <v>590</v>
      </c>
      <c r="S183" t="s">
        <v>578</v>
      </c>
    </row>
    <row r="184" spans="1:19" x14ac:dyDescent="0.3">
      <c r="A184" t="s">
        <v>426</v>
      </c>
      <c r="B184" s="2">
        <v>45799</v>
      </c>
      <c r="C184" t="s">
        <v>154</v>
      </c>
      <c r="D184" t="s">
        <v>131</v>
      </c>
      <c r="E184" t="s">
        <v>19</v>
      </c>
      <c r="F184" t="s">
        <v>20</v>
      </c>
      <c r="G184" t="s">
        <v>341</v>
      </c>
      <c r="H184" t="s">
        <v>101</v>
      </c>
      <c r="I184" t="s">
        <v>102</v>
      </c>
      <c r="J184">
        <v>2</v>
      </c>
      <c r="K184">
        <v>136000</v>
      </c>
      <c r="L184">
        <v>0.02</v>
      </c>
      <c r="M184">
        <v>266560</v>
      </c>
      <c r="N184" t="s">
        <v>86</v>
      </c>
      <c r="O184" t="s">
        <v>175</v>
      </c>
      <c r="P184" t="s">
        <v>87</v>
      </c>
      <c r="Q184">
        <v>5</v>
      </c>
      <c r="R184" t="s">
        <v>584</v>
      </c>
      <c r="S184" t="s">
        <v>583</v>
      </c>
    </row>
    <row r="185" spans="1:19" x14ac:dyDescent="0.3">
      <c r="A185" t="s">
        <v>419</v>
      </c>
      <c r="B185" s="2">
        <v>46007</v>
      </c>
      <c r="C185" t="s">
        <v>214</v>
      </c>
      <c r="D185" t="s">
        <v>102</v>
      </c>
      <c r="E185" t="s">
        <v>19</v>
      </c>
      <c r="F185" t="s">
        <v>20</v>
      </c>
      <c r="G185" t="s">
        <v>204</v>
      </c>
      <c r="H185" t="s">
        <v>101</v>
      </c>
      <c r="I185" t="s">
        <v>156</v>
      </c>
      <c r="J185">
        <v>9</v>
      </c>
      <c r="K185">
        <v>168000</v>
      </c>
      <c r="L185">
        <v>0.02</v>
      </c>
      <c r="M185">
        <v>1481760</v>
      </c>
      <c r="N185" t="s">
        <v>35</v>
      </c>
      <c r="O185" t="s">
        <v>95</v>
      </c>
      <c r="P185" t="s">
        <v>61</v>
      </c>
      <c r="Q185">
        <v>12</v>
      </c>
      <c r="R185" t="s">
        <v>590</v>
      </c>
      <c r="S185" t="s">
        <v>578</v>
      </c>
    </row>
    <row r="186" spans="1:19" x14ac:dyDescent="0.3">
      <c r="A186" t="s">
        <v>388</v>
      </c>
      <c r="B186" s="2">
        <v>45966</v>
      </c>
      <c r="C186" t="s">
        <v>17</v>
      </c>
      <c r="D186" t="s">
        <v>18</v>
      </c>
      <c r="E186" t="s">
        <v>19</v>
      </c>
      <c r="F186" t="s">
        <v>20</v>
      </c>
      <c r="G186" t="s">
        <v>295</v>
      </c>
      <c r="H186" t="s">
        <v>32</v>
      </c>
      <c r="I186" t="s">
        <v>58</v>
      </c>
      <c r="J186">
        <v>4</v>
      </c>
      <c r="K186">
        <v>399000</v>
      </c>
      <c r="L186">
        <v>0.02</v>
      </c>
      <c r="M186">
        <v>1564080</v>
      </c>
      <c r="N186" t="s">
        <v>35</v>
      </c>
      <c r="O186" t="s">
        <v>175</v>
      </c>
      <c r="P186" t="s">
        <v>61</v>
      </c>
      <c r="Q186">
        <v>11</v>
      </c>
      <c r="R186" t="s">
        <v>577</v>
      </c>
      <c r="S186" t="s">
        <v>578</v>
      </c>
    </row>
    <row r="187" spans="1:19" x14ac:dyDescent="0.3">
      <c r="A187" t="s">
        <v>76</v>
      </c>
      <c r="B187" s="2">
        <v>45808</v>
      </c>
      <c r="C187" t="s">
        <v>39</v>
      </c>
      <c r="D187" t="s">
        <v>40</v>
      </c>
      <c r="E187" t="s">
        <v>42</v>
      </c>
      <c r="F187" t="s">
        <v>42</v>
      </c>
      <c r="G187" t="s">
        <v>71</v>
      </c>
      <c r="H187" t="s">
        <v>32</v>
      </c>
      <c r="I187" t="s">
        <v>33</v>
      </c>
      <c r="J187">
        <v>1</v>
      </c>
      <c r="K187">
        <v>328000</v>
      </c>
      <c r="L187">
        <v>0.05</v>
      </c>
      <c r="M187">
        <v>-311600</v>
      </c>
      <c r="N187" t="s">
        <v>94</v>
      </c>
      <c r="O187" t="s">
        <v>46</v>
      </c>
      <c r="P187" t="s">
        <v>183</v>
      </c>
      <c r="Q187">
        <v>5</v>
      </c>
      <c r="R187" t="s">
        <v>584</v>
      </c>
      <c r="S187" t="s">
        <v>583</v>
      </c>
    </row>
    <row r="188" spans="1:19" x14ac:dyDescent="0.3">
      <c r="A188" t="s">
        <v>421</v>
      </c>
      <c r="B188" s="2">
        <v>45726</v>
      </c>
      <c r="C188" t="s">
        <v>89</v>
      </c>
      <c r="D188" t="s">
        <v>90</v>
      </c>
      <c r="E188" t="s">
        <v>19</v>
      </c>
      <c r="F188" t="s">
        <v>20</v>
      </c>
      <c r="G188" t="s">
        <v>178</v>
      </c>
      <c r="H188" t="s">
        <v>101</v>
      </c>
      <c r="I188" t="s">
        <v>179</v>
      </c>
      <c r="J188">
        <v>12</v>
      </c>
      <c r="K188">
        <v>105000</v>
      </c>
      <c r="L188">
        <v>0</v>
      </c>
      <c r="M188">
        <v>0</v>
      </c>
      <c r="N188" t="s">
        <v>53</v>
      </c>
      <c r="O188" t="s">
        <v>60</v>
      </c>
      <c r="P188" t="s">
        <v>26</v>
      </c>
      <c r="Q188">
        <v>3</v>
      </c>
      <c r="R188" t="s">
        <v>592</v>
      </c>
      <c r="S188" t="s">
        <v>580</v>
      </c>
    </row>
    <row r="189" spans="1:19" x14ac:dyDescent="0.3">
      <c r="A189" t="s">
        <v>328</v>
      </c>
      <c r="B189" s="2">
        <v>45863</v>
      </c>
      <c r="C189" t="s">
        <v>17</v>
      </c>
      <c r="D189" t="s">
        <v>18</v>
      </c>
      <c r="E189" t="s">
        <v>19</v>
      </c>
      <c r="F189" t="s">
        <v>20</v>
      </c>
      <c r="G189" t="s">
        <v>208</v>
      </c>
      <c r="H189" t="s">
        <v>209</v>
      </c>
      <c r="I189" t="s">
        <v>65</v>
      </c>
      <c r="J189">
        <v>1</v>
      </c>
      <c r="K189">
        <v>98000</v>
      </c>
      <c r="L189">
        <v>0.05</v>
      </c>
      <c r="M189">
        <v>93100</v>
      </c>
      <c r="N189" t="s">
        <v>53</v>
      </c>
      <c r="O189" t="s">
        <v>95</v>
      </c>
      <c r="P189" t="s">
        <v>61</v>
      </c>
      <c r="Q189">
        <v>7</v>
      </c>
      <c r="R189" t="s">
        <v>585</v>
      </c>
      <c r="S189" t="s">
        <v>586</v>
      </c>
    </row>
    <row r="190" spans="1:19" x14ac:dyDescent="0.3">
      <c r="A190" t="s">
        <v>389</v>
      </c>
      <c r="B190" s="2">
        <v>45953</v>
      </c>
      <c r="C190" t="s">
        <v>89</v>
      </c>
      <c r="D190" t="s">
        <v>90</v>
      </c>
      <c r="E190" t="s">
        <v>19</v>
      </c>
      <c r="F190" t="s">
        <v>20</v>
      </c>
      <c r="G190" t="s">
        <v>208</v>
      </c>
      <c r="H190" t="s">
        <v>209</v>
      </c>
      <c r="I190" t="s">
        <v>65</v>
      </c>
      <c r="J190">
        <v>5</v>
      </c>
      <c r="K190">
        <v>97000</v>
      </c>
      <c r="L190">
        <v>0</v>
      </c>
      <c r="M190">
        <v>485000</v>
      </c>
      <c r="N190" t="s">
        <v>86</v>
      </c>
      <c r="O190" t="s">
        <v>145</v>
      </c>
      <c r="P190" t="s">
        <v>87</v>
      </c>
      <c r="Q190">
        <v>10</v>
      </c>
      <c r="R190" t="s">
        <v>593</v>
      </c>
      <c r="S190" t="s">
        <v>578</v>
      </c>
    </row>
    <row r="191" spans="1:19" x14ac:dyDescent="0.3">
      <c r="A191" t="s">
        <v>472</v>
      </c>
      <c r="B191" s="2">
        <v>45747</v>
      </c>
      <c r="C191" t="s">
        <v>190</v>
      </c>
      <c r="D191" t="s">
        <v>191</v>
      </c>
      <c r="E191" t="s">
        <v>42</v>
      </c>
      <c r="F191" t="s">
        <v>42</v>
      </c>
      <c r="G191" t="s">
        <v>235</v>
      </c>
      <c r="H191" t="s">
        <v>101</v>
      </c>
      <c r="I191" t="s">
        <v>156</v>
      </c>
      <c r="J191">
        <v>14</v>
      </c>
      <c r="K191">
        <v>170000</v>
      </c>
      <c r="L191">
        <v>0.02</v>
      </c>
      <c r="M191">
        <v>2332400</v>
      </c>
      <c r="N191" t="s">
        <v>94</v>
      </c>
      <c r="O191" t="s">
        <v>60</v>
      </c>
      <c r="P191" t="s">
        <v>61</v>
      </c>
      <c r="Q191">
        <v>3</v>
      </c>
      <c r="R191" t="s">
        <v>592</v>
      </c>
      <c r="S191" t="s">
        <v>580</v>
      </c>
    </row>
    <row r="192" spans="1:19" x14ac:dyDescent="0.3">
      <c r="A192" t="s">
        <v>390</v>
      </c>
      <c r="B192" s="2">
        <v>45784</v>
      </c>
      <c r="C192" t="s">
        <v>56</v>
      </c>
      <c r="D192" t="s">
        <v>18</v>
      </c>
      <c r="E192" t="s">
        <v>42</v>
      </c>
      <c r="F192" t="s">
        <v>42</v>
      </c>
      <c r="G192" t="s">
        <v>64</v>
      </c>
      <c r="H192" t="s">
        <v>32</v>
      </c>
      <c r="I192" t="s">
        <v>65</v>
      </c>
      <c r="J192">
        <v>9</v>
      </c>
      <c r="K192">
        <v>471000</v>
      </c>
      <c r="L192">
        <v>0</v>
      </c>
      <c r="M192">
        <v>4239000</v>
      </c>
      <c r="N192" t="s">
        <v>53</v>
      </c>
      <c r="O192" t="s">
        <v>145</v>
      </c>
      <c r="P192" t="s">
        <v>87</v>
      </c>
      <c r="Q192">
        <v>5</v>
      </c>
      <c r="R192" t="s">
        <v>584</v>
      </c>
      <c r="S192" t="s">
        <v>583</v>
      </c>
    </row>
    <row r="193" spans="1:19" x14ac:dyDescent="0.3">
      <c r="A193" t="s">
        <v>366</v>
      </c>
      <c r="B193" s="2">
        <v>45773</v>
      </c>
      <c r="C193" t="s">
        <v>39</v>
      </c>
      <c r="D193" t="s">
        <v>40</v>
      </c>
      <c r="E193" t="s">
        <v>42</v>
      </c>
      <c r="F193" t="s">
        <v>42</v>
      </c>
      <c r="G193" t="s">
        <v>160</v>
      </c>
      <c r="H193" t="s">
        <v>22</v>
      </c>
      <c r="I193" t="s">
        <v>23</v>
      </c>
      <c r="J193">
        <v>2</v>
      </c>
      <c r="K193">
        <v>84000</v>
      </c>
      <c r="L193">
        <v>0.1</v>
      </c>
      <c r="M193">
        <v>-151200</v>
      </c>
      <c r="N193" t="s">
        <v>86</v>
      </c>
      <c r="O193" t="s">
        <v>36</v>
      </c>
      <c r="P193" t="s">
        <v>183</v>
      </c>
      <c r="Q193">
        <v>4</v>
      </c>
      <c r="R193" t="s">
        <v>582</v>
      </c>
      <c r="S193" t="s">
        <v>583</v>
      </c>
    </row>
    <row r="194" spans="1:19" x14ac:dyDescent="0.3">
      <c r="A194" t="s">
        <v>334</v>
      </c>
      <c r="B194" s="2">
        <v>45838</v>
      </c>
      <c r="C194" t="s">
        <v>159</v>
      </c>
      <c r="D194" t="s">
        <v>131</v>
      </c>
      <c r="E194" t="s">
        <v>84</v>
      </c>
      <c r="F194" t="s">
        <v>114</v>
      </c>
      <c r="G194" t="s">
        <v>128</v>
      </c>
      <c r="H194" t="s">
        <v>22</v>
      </c>
      <c r="I194" t="s">
        <v>92</v>
      </c>
      <c r="J194">
        <v>4</v>
      </c>
      <c r="K194">
        <v>219000</v>
      </c>
      <c r="L194">
        <v>0</v>
      </c>
      <c r="M194">
        <v>876000</v>
      </c>
      <c r="N194" t="s">
        <v>53</v>
      </c>
      <c r="O194" t="s">
        <v>36</v>
      </c>
      <c r="P194" t="s">
        <v>61</v>
      </c>
      <c r="Q194">
        <v>6</v>
      </c>
      <c r="R194" t="s">
        <v>589</v>
      </c>
      <c r="S194" t="s">
        <v>583</v>
      </c>
    </row>
    <row r="195" spans="1:19" x14ac:dyDescent="0.3">
      <c r="A195" t="s">
        <v>199</v>
      </c>
      <c r="B195" s="2">
        <v>45748</v>
      </c>
      <c r="C195" t="s">
        <v>190</v>
      </c>
      <c r="D195" t="s">
        <v>191</v>
      </c>
      <c r="E195" t="s">
        <v>42</v>
      </c>
      <c r="F195" t="s">
        <v>42</v>
      </c>
      <c r="G195" t="s">
        <v>128</v>
      </c>
      <c r="H195" t="s">
        <v>22</v>
      </c>
      <c r="I195" t="s">
        <v>92</v>
      </c>
      <c r="J195">
        <v>13</v>
      </c>
      <c r="K195">
        <v>205000</v>
      </c>
      <c r="L195">
        <v>0</v>
      </c>
      <c r="M195">
        <v>2665000</v>
      </c>
      <c r="N195" t="s">
        <v>94</v>
      </c>
      <c r="O195" t="s">
        <v>25</v>
      </c>
      <c r="P195" t="s">
        <v>61</v>
      </c>
      <c r="Q195">
        <v>4</v>
      </c>
      <c r="R195" t="s">
        <v>582</v>
      </c>
      <c r="S195" t="s">
        <v>583</v>
      </c>
    </row>
    <row r="196" spans="1:19" x14ac:dyDescent="0.3">
      <c r="A196" t="s">
        <v>250</v>
      </c>
      <c r="B196" s="2">
        <v>45948</v>
      </c>
      <c r="C196" t="s">
        <v>214</v>
      </c>
      <c r="D196" t="s">
        <v>102</v>
      </c>
      <c r="E196" t="s">
        <v>19</v>
      </c>
      <c r="F196" t="s">
        <v>20</v>
      </c>
      <c r="G196" t="s">
        <v>235</v>
      </c>
      <c r="H196" t="s">
        <v>101</v>
      </c>
      <c r="I196" t="s">
        <v>156</v>
      </c>
      <c r="J196">
        <v>11</v>
      </c>
      <c r="K196">
        <v>175000</v>
      </c>
      <c r="L196">
        <v>0.1</v>
      </c>
      <c r="M196">
        <v>-1732500</v>
      </c>
      <c r="N196" t="s">
        <v>53</v>
      </c>
      <c r="O196" t="s">
        <v>145</v>
      </c>
      <c r="P196" t="s">
        <v>183</v>
      </c>
      <c r="Q196">
        <v>10</v>
      </c>
      <c r="R196" t="s">
        <v>593</v>
      </c>
      <c r="S196" t="s">
        <v>578</v>
      </c>
    </row>
    <row r="197" spans="1:19" x14ac:dyDescent="0.3">
      <c r="A197" t="s">
        <v>300</v>
      </c>
      <c r="B197" s="2">
        <v>45737</v>
      </c>
      <c r="C197" t="s">
        <v>67</v>
      </c>
      <c r="D197" t="s">
        <v>68</v>
      </c>
      <c r="E197" t="s">
        <v>69</v>
      </c>
      <c r="F197" t="s">
        <v>70</v>
      </c>
      <c r="G197" t="s">
        <v>74</v>
      </c>
      <c r="H197" t="s">
        <v>32</v>
      </c>
      <c r="I197" t="s">
        <v>33</v>
      </c>
      <c r="J197">
        <v>8</v>
      </c>
      <c r="K197">
        <v>83000</v>
      </c>
      <c r="L197">
        <v>0.05</v>
      </c>
      <c r="M197">
        <v>-630800</v>
      </c>
      <c r="N197" t="s">
        <v>53</v>
      </c>
      <c r="O197" t="s">
        <v>175</v>
      </c>
      <c r="P197" t="s">
        <v>183</v>
      </c>
      <c r="Q197">
        <v>3</v>
      </c>
      <c r="R197" t="s">
        <v>592</v>
      </c>
      <c r="S197" t="s">
        <v>580</v>
      </c>
    </row>
    <row r="198" spans="1:19" x14ac:dyDescent="0.3">
      <c r="A198" t="s">
        <v>302</v>
      </c>
      <c r="B198" s="2">
        <v>45962</v>
      </c>
      <c r="C198" t="s">
        <v>17</v>
      </c>
      <c r="D198" t="s">
        <v>18</v>
      </c>
      <c r="E198" t="s">
        <v>19</v>
      </c>
      <c r="F198" t="s">
        <v>20</v>
      </c>
      <c r="G198" t="s">
        <v>109</v>
      </c>
      <c r="H198" t="s">
        <v>32</v>
      </c>
      <c r="I198" t="s">
        <v>44</v>
      </c>
      <c r="J198">
        <v>9</v>
      </c>
      <c r="K198">
        <v>156000</v>
      </c>
      <c r="L198">
        <v>0</v>
      </c>
      <c r="M198">
        <v>1404000</v>
      </c>
      <c r="N198" t="s">
        <v>94</v>
      </c>
      <c r="O198" t="s">
        <v>25</v>
      </c>
      <c r="P198" t="s">
        <v>61</v>
      </c>
      <c r="Q198">
        <v>11</v>
      </c>
      <c r="R198" t="s">
        <v>577</v>
      </c>
      <c r="S198" t="s">
        <v>578</v>
      </c>
    </row>
    <row r="199" spans="1:19" x14ac:dyDescent="0.3">
      <c r="A199" t="s">
        <v>344</v>
      </c>
      <c r="B199" s="2">
        <v>45679</v>
      </c>
      <c r="C199" t="s">
        <v>17</v>
      </c>
      <c r="D199" t="s">
        <v>18</v>
      </c>
      <c r="E199" t="s">
        <v>19</v>
      </c>
      <c r="F199" t="s">
        <v>20</v>
      </c>
      <c r="G199" t="s">
        <v>109</v>
      </c>
      <c r="H199" t="s">
        <v>32</v>
      </c>
      <c r="I199" t="s">
        <v>44</v>
      </c>
      <c r="J199">
        <v>14</v>
      </c>
      <c r="K199">
        <v>163000</v>
      </c>
      <c r="L199">
        <v>0.02</v>
      </c>
      <c r="M199">
        <v>2236360</v>
      </c>
      <c r="N199" t="s">
        <v>86</v>
      </c>
      <c r="O199" t="s">
        <v>95</v>
      </c>
      <c r="P199" t="s">
        <v>61</v>
      </c>
      <c r="Q199">
        <v>1</v>
      </c>
      <c r="R199" t="s">
        <v>587</v>
      </c>
      <c r="S199" t="s">
        <v>580</v>
      </c>
    </row>
    <row r="200" spans="1:19" x14ac:dyDescent="0.3">
      <c r="A200" t="s">
        <v>315</v>
      </c>
      <c r="B200" s="2">
        <v>45896</v>
      </c>
      <c r="C200" t="s">
        <v>214</v>
      </c>
      <c r="D200" t="s">
        <v>102</v>
      </c>
      <c r="E200" t="s">
        <v>19</v>
      </c>
      <c r="F200" t="s">
        <v>20</v>
      </c>
      <c r="G200" t="s">
        <v>178</v>
      </c>
      <c r="H200" t="s">
        <v>101</v>
      </c>
      <c r="I200" t="s">
        <v>179</v>
      </c>
      <c r="J200">
        <v>13</v>
      </c>
      <c r="K200">
        <v>106000</v>
      </c>
      <c r="L200">
        <v>0</v>
      </c>
      <c r="M200">
        <v>1378000</v>
      </c>
      <c r="N200" t="s">
        <v>35</v>
      </c>
      <c r="O200" t="s">
        <v>145</v>
      </c>
      <c r="P200" t="s">
        <v>87</v>
      </c>
      <c r="Q200">
        <v>8</v>
      </c>
      <c r="R200" t="s">
        <v>588</v>
      </c>
      <c r="S200" t="s">
        <v>586</v>
      </c>
    </row>
    <row r="201" spans="1:19" x14ac:dyDescent="0.3">
      <c r="A201" t="s">
        <v>425</v>
      </c>
      <c r="B201" s="2">
        <v>45969</v>
      </c>
      <c r="C201" t="s">
        <v>287</v>
      </c>
      <c r="D201" t="s">
        <v>22</v>
      </c>
      <c r="E201" t="s">
        <v>19</v>
      </c>
      <c r="F201" t="s">
        <v>20</v>
      </c>
      <c r="G201" t="s">
        <v>341</v>
      </c>
      <c r="H201" t="s">
        <v>101</v>
      </c>
      <c r="I201" t="s">
        <v>102</v>
      </c>
      <c r="J201">
        <v>3</v>
      </c>
      <c r="K201">
        <v>131000</v>
      </c>
      <c r="L201">
        <v>0</v>
      </c>
      <c r="M201">
        <v>393000</v>
      </c>
      <c r="N201" t="s">
        <v>86</v>
      </c>
      <c r="O201" t="s">
        <v>145</v>
      </c>
      <c r="P201" t="s">
        <v>87</v>
      </c>
      <c r="Q201">
        <v>11</v>
      </c>
      <c r="R201" t="s">
        <v>577</v>
      </c>
      <c r="S201" t="s">
        <v>578</v>
      </c>
    </row>
    <row r="202" spans="1:19" x14ac:dyDescent="0.3">
      <c r="A202" t="s">
        <v>165</v>
      </c>
      <c r="B202" s="2">
        <v>45703</v>
      </c>
      <c r="C202" t="s">
        <v>106</v>
      </c>
      <c r="D202" t="s">
        <v>50</v>
      </c>
      <c r="E202" t="s">
        <v>107</v>
      </c>
      <c r="F202" t="s">
        <v>108</v>
      </c>
      <c r="G202" t="s">
        <v>160</v>
      </c>
      <c r="H202" t="s">
        <v>22</v>
      </c>
      <c r="I202" t="s">
        <v>23</v>
      </c>
      <c r="J202">
        <v>1</v>
      </c>
      <c r="K202">
        <v>79000</v>
      </c>
      <c r="L202">
        <v>0</v>
      </c>
      <c r="M202">
        <v>-79000</v>
      </c>
      <c r="N202" t="s">
        <v>94</v>
      </c>
      <c r="O202" t="s">
        <v>25</v>
      </c>
      <c r="P202" t="s">
        <v>183</v>
      </c>
      <c r="Q202">
        <v>2</v>
      </c>
      <c r="R202" t="s">
        <v>579</v>
      </c>
      <c r="S202" t="s">
        <v>580</v>
      </c>
    </row>
    <row r="203" spans="1:19" x14ac:dyDescent="0.3">
      <c r="A203" t="s">
        <v>220</v>
      </c>
      <c r="B203" s="2">
        <v>45928</v>
      </c>
      <c r="C203" t="s">
        <v>106</v>
      </c>
      <c r="D203" t="s">
        <v>50</v>
      </c>
      <c r="E203" t="s">
        <v>107</v>
      </c>
      <c r="F203" t="s">
        <v>108</v>
      </c>
      <c r="G203" t="s">
        <v>160</v>
      </c>
      <c r="H203" t="s">
        <v>22</v>
      </c>
      <c r="I203" t="s">
        <v>23</v>
      </c>
      <c r="J203">
        <v>6</v>
      </c>
      <c r="K203">
        <v>68000</v>
      </c>
      <c r="L203">
        <v>0.02</v>
      </c>
      <c r="M203">
        <v>399840</v>
      </c>
      <c r="N203" t="s">
        <v>94</v>
      </c>
      <c r="O203" t="s">
        <v>95</v>
      </c>
      <c r="P203" t="s">
        <v>61</v>
      </c>
      <c r="Q203">
        <v>9</v>
      </c>
      <c r="R203" t="s">
        <v>591</v>
      </c>
      <c r="S203" t="s">
        <v>586</v>
      </c>
    </row>
    <row r="204" spans="1:19" x14ac:dyDescent="0.3">
      <c r="A204" t="s">
        <v>403</v>
      </c>
      <c r="B204" s="2">
        <v>45833</v>
      </c>
      <c r="C204" t="s">
        <v>190</v>
      </c>
      <c r="D204" t="s">
        <v>191</v>
      </c>
      <c r="E204" t="s">
        <v>42</v>
      </c>
      <c r="F204" t="s">
        <v>42</v>
      </c>
      <c r="G204" t="s">
        <v>57</v>
      </c>
      <c r="H204" t="s">
        <v>32</v>
      </c>
      <c r="I204" t="s">
        <v>58</v>
      </c>
      <c r="J204">
        <v>13</v>
      </c>
      <c r="K204">
        <v>628000</v>
      </c>
      <c r="L204">
        <v>0.02</v>
      </c>
      <c r="M204">
        <v>8000720</v>
      </c>
      <c r="N204" t="s">
        <v>53</v>
      </c>
      <c r="O204" t="s">
        <v>60</v>
      </c>
      <c r="P204" t="s">
        <v>61</v>
      </c>
      <c r="Q204">
        <v>6</v>
      </c>
      <c r="R204" t="s">
        <v>589</v>
      </c>
      <c r="S204" t="s">
        <v>583</v>
      </c>
    </row>
    <row r="205" spans="1:19" x14ac:dyDescent="0.3">
      <c r="A205" t="s">
        <v>427</v>
      </c>
      <c r="B205" s="2">
        <v>45945</v>
      </c>
      <c r="C205" t="s">
        <v>89</v>
      </c>
      <c r="D205" t="s">
        <v>90</v>
      </c>
      <c r="E205" t="s">
        <v>19</v>
      </c>
      <c r="F205" t="s">
        <v>20</v>
      </c>
      <c r="G205" t="s">
        <v>137</v>
      </c>
      <c r="H205" t="s">
        <v>138</v>
      </c>
      <c r="I205" t="s">
        <v>138</v>
      </c>
      <c r="J205">
        <v>5</v>
      </c>
      <c r="K205">
        <v>31000</v>
      </c>
      <c r="L205">
        <v>0.1</v>
      </c>
      <c r="M205">
        <v>139500</v>
      </c>
      <c r="N205" t="s">
        <v>53</v>
      </c>
      <c r="O205" t="s">
        <v>60</v>
      </c>
      <c r="P205" t="s">
        <v>61</v>
      </c>
      <c r="Q205">
        <v>10</v>
      </c>
      <c r="R205" t="s">
        <v>593</v>
      </c>
      <c r="S205" t="s">
        <v>578</v>
      </c>
    </row>
    <row r="206" spans="1:19" x14ac:dyDescent="0.3">
      <c r="A206" t="s">
        <v>257</v>
      </c>
      <c r="B206" s="2">
        <v>45958</v>
      </c>
      <c r="C206" t="s">
        <v>63</v>
      </c>
      <c r="D206" t="s">
        <v>18</v>
      </c>
      <c r="E206" t="s">
        <v>42</v>
      </c>
      <c r="F206" t="s">
        <v>42</v>
      </c>
      <c r="G206" t="s">
        <v>109</v>
      </c>
      <c r="H206" t="s">
        <v>32</v>
      </c>
      <c r="I206" t="s">
        <v>44</v>
      </c>
      <c r="J206">
        <v>5</v>
      </c>
      <c r="K206">
        <v>151000</v>
      </c>
      <c r="L206">
        <v>0.05</v>
      </c>
      <c r="M206">
        <v>717250</v>
      </c>
      <c r="N206" t="s">
        <v>86</v>
      </c>
      <c r="O206" t="s">
        <v>175</v>
      </c>
      <c r="P206" t="s">
        <v>61</v>
      </c>
      <c r="Q206">
        <v>10</v>
      </c>
      <c r="R206" t="s">
        <v>593</v>
      </c>
      <c r="S206" t="s">
        <v>578</v>
      </c>
    </row>
    <row r="207" spans="1:19" x14ac:dyDescent="0.3">
      <c r="A207" t="s">
        <v>443</v>
      </c>
      <c r="B207" s="2">
        <v>45946</v>
      </c>
      <c r="C207" t="s">
        <v>89</v>
      </c>
      <c r="D207" t="s">
        <v>90</v>
      </c>
      <c r="E207" t="s">
        <v>19</v>
      </c>
      <c r="F207" t="s">
        <v>20</v>
      </c>
      <c r="G207" t="s">
        <v>144</v>
      </c>
      <c r="H207" t="s">
        <v>32</v>
      </c>
      <c r="I207" t="s">
        <v>44</v>
      </c>
      <c r="J207">
        <v>14</v>
      </c>
      <c r="K207">
        <v>212000</v>
      </c>
      <c r="L207">
        <v>0</v>
      </c>
      <c r="M207">
        <v>-2968000</v>
      </c>
      <c r="N207" t="s">
        <v>86</v>
      </c>
      <c r="O207" t="s">
        <v>95</v>
      </c>
      <c r="P207" t="s">
        <v>183</v>
      </c>
      <c r="Q207">
        <v>10</v>
      </c>
      <c r="R207" t="s">
        <v>593</v>
      </c>
      <c r="S207" t="s">
        <v>578</v>
      </c>
    </row>
    <row r="208" spans="1:19" x14ac:dyDescent="0.3">
      <c r="A208" t="s">
        <v>294</v>
      </c>
      <c r="B208" s="2">
        <v>45920</v>
      </c>
      <c r="C208" t="s">
        <v>159</v>
      </c>
      <c r="D208" t="s">
        <v>131</v>
      </c>
      <c r="E208" t="s">
        <v>84</v>
      </c>
      <c r="F208" t="s">
        <v>114</v>
      </c>
      <c r="G208" t="s">
        <v>295</v>
      </c>
      <c r="H208" t="s">
        <v>32</v>
      </c>
      <c r="I208" t="s">
        <v>58</v>
      </c>
      <c r="J208">
        <v>6</v>
      </c>
      <c r="K208">
        <v>381000</v>
      </c>
      <c r="L208">
        <v>0.02</v>
      </c>
      <c r="M208">
        <v>2240280</v>
      </c>
      <c r="N208" t="s">
        <v>35</v>
      </c>
      <c r="O208" t="s">
        <v>145</v>
      </c>
      <c r="P208" t="s">
        <v>61</v>
      </c>
      <c r="Q208">
        <v>9</v>
      </c>
      <c r="R208" t="s">
        <v>591</v>
      </c>
      <c r="S208" t="s">
        <v>586</v>
      </c>
    </row>
    <row r="209" spans="1:19" x14ac:dyDescent="0.3">
      <c r="A209" t="s">
        <v>281</v>
      </c>
      <c r="B209" s="2">
        <v>45908</v>
      </c>
      <c r="C209" t="s">
        <v>154</v>
      </c>
      <c r="D209" t="s">
        <v>131</v>
      </c>
      <c r="E209" t="s">
        <v>19</v>
      </c>
      <c r="F209" t="s">
        <v>20</v>
      </c>
      <c r="G209" t="s">
        <v>169</v>
      </c>
      <c r="H209" t="s">
        <v>22</v>
      </c>
      <c r="I209" t="s">
        <v>23</v>
      </c>
      <c r="J209">
        <v>3</v>
      </c>
      <c r="K209">
        <v>44000</v>
      </c>
      <c r="L209">
        <v>0</v>
      </c>
      <c r="M209">
        <v>132000</v>
      </c>
      <c r="N209" t="s">
        <v>53</v>
      </c>
      <c r="O209" t="s">
        <v>60</v>
      </c>
      <c r="P209" t="s">
        <v>61</v>
      </c>
      <c r="Q209">
        <v>9</v>
      </c>
      <c r="R209" t="s">
        <v>591</v>
      </c>
      <c r="S209" t="s">
        <v>586</v>
      </c>
    </row>
    <row r="210" spans="1:19" x14ac:dyDescent="0.3">
      <c r="A210" t="s">
        <v>479</v>
      </c>
      <c r="B210" s="2">
        <v>45919</v>
      </c>
      <c r="C210" t="s">
        <v>113</v>
      </c>
      <c r="D210" t="s">
        <v>29</v>
      </c>
      <c r="E210" t="s">
        <v>84</v>
      </c>
      <c r="F210" t="s">
        <v>114</v>
      </c>
      <c r="G210" t="s">
        <v>341</v>
      </c>
      <c r="H210" t="s">
        <v>101</v>
      </c>
      <c r="I210" t="s">
        <v>102</v>
      </c>
      <c r="J210">
        <v>1</v>
      </c>
      <c r="K210">
        <v>106000</v>
      </c>
      <c r="L210">
        <v>0.02</v>
      </c>
      <c r="M210">
        <v>0</v>
      </c>
      <c r="N210" t="s">
        <v>35</v>
      </c>
      <c r="O210" t="s">
        <v>95</v>
      </c>
      <c r="P210" t="s">
        <v>26</v>
      </c>
      <c r="Q210">
        <v>9</v>
      </c>
      <c r="R210" t="s">
        <v>591</v>
      </c>
      <c r="S210" t="s">
        <v>586</v>
      </c>
    </row>
    <row r="211" spans="1:19" x14ac:dyDescent="0.3">
      <c r="A211" t="s">
        <v>354</v>
      </c>
      <c r="B211" s="2">
        <v>45738</v>
      </c>
      <c r="C211" t="s">
        <v>117</v>
      </c>
      <c r="D211" t="s">
        <v>68</v>
      </c>
      <c r="E211" t="s">
        <v>123</v>
      </c>
      <c r="F211" t="s">
        <v>225</v>
      </c>
      <c r="G211" t="s">
        <v>160</v>
      </c>
      <c r="H211" t="s">
        <v>22</v>
      </c>
      <c r="I211" t="s">
        <v>23</v>
      </c>
      <c r="J211">
        <v>14</v>
      </c>
      <c r="K211">
        <v>69000</v>
      </c>
      <c r="L211">
        <v>0.1</v>
      </c>
      <c r="M211">
        <v>869400</v>
      </c>
      <c r="N211" t="s">
        <v>94</v>
      </c>
      <c r="O211" t="s">
        <v>75</v>
      </c>
      <c r="P211" t="s">
        <v>61</v>
      </c>
      <c r="Q211">
        <v>3</v>
      </c>
      <c r="R211" t="s">
        <v>592</v>
      </c>
      <c r="S211" t="s">
        <v>580</v>
      </c>
    </row>
    <row r="212" spans="1:19" x14ac:dyDescent="0.3">
      <c r="A212" t="s">
        <v>292</v>
      </c>
      <c r="B212" s="2">
        <v>45870</v>
      </c>
      <c r="C212" t="s">
        <v>159</v>
      </c>
      <c r="D212" t="s">
        <v>131</v>
      </c>
      <c r="E212" t="s">
        <v>84</v>
      </c>
      <c r="F212" t="s">
        <v>114</v>
      </c>
      <c r="G212" t="s">
        <v>169</v>
      </c>
      <c r="H212" t="s">
        <v>22</v>
      </c>
      <c r="I212" t="s">
        <v>23</v>
      </c>
      <c r="J212">
        <v>8</v>
      </c>
      <c r="K212">
        <v>43000</v>
      </c>
      <c r="L212">
        <v>0.1</v>
      </c>
      <c r="M212">
        <v>309600</v>
      </c>
      <c r="N212" t="s">
        <v>94</v>
      </c>
      <c r="O212" t="s">
        <v>36</v>
      </c>
      <c r="P212" t="s">
        <v>61</v>
      </c>
      <c r="Q212">
        <v>8</v>
      </c>
      <c r="R212" t="s">
        <v>588</v>
      </c>
      <c r="S212" t="s">
        <v>586</v>
      </c>
    </row>
    <row r="213" spans="1:19" x14ac:dyDescent="0.3">
      <c r="A213" t="s">
        <v>305</v>
      </c>
      <c r="B213" s="2">
        <v>45933</v>
      </c>
      <c r="C213" t="s">
        <v>28</v>
      </c>
      <c r="D213" t="s">
        <v>29</v>
      </c>
      <c r="E213" t="s">
        <v>30</v>
      </c>
      <c r="F213" t="s">
        <v>20</v>
      </c>
      <c r="G213" t="s">
        <v>137</v>
      </c>
      <c r="H213" t="s">
        <v>138</v>
      </c>
      <c r="I213" t="s">
        <v>138</v>
      </c>
      <c r="J213">
        <v>13</v>
      </c>
      <c r="K213">
        <v>30000</v>
      </c>
      <c r="L213">
        <v>0.05</v>
      </c>
      <c r="M213">
        <v>370500</v>
      </c>
      <c r="N213" t="s">
        <v>53</v>
      </c>
      <c r="O213" t="s">
        <v>25</v>
      </c>
      <c r="P213" t="s">
        <v>61</v>
      </c>
      <c r="Q213">
        <v>10</v>
      </c>
      <c r="R213" t="s">
        <v>593</v>
      </c>
      <c r="S213" t="s">
        <v>578</v>
      </c>
    </row>
    <row r="214" spans="1:19" x14ac:dyDescent="0.3">
      <c r="A214" t="s">
        <v>134</v>
      </c>
      <c r="B214" s="2">
        <v>45896</v>
      </c>
      <c r="C214" t="s">
        <v>135</v>
      </c>
      <c r="D214" t="s">
        <v>50</v>
      </c>
      <c r="E214" t="s">
        <v>107</v>
      </c>
      <c r="F214" t="s">
        <v>108</v>
      </c>
      <c r="G214" t="s">
        <v>64</v>
      </c>
      <c r="H214" t="s">
        <v>32</v>
      </c>
      <c r="I214" t="s">
        <v>65</v>
      </c>
      <c r="J214">
        <v>9</v>
      </c>
      <c r="K214">
        <v>549000</v>
      </c>
      <c r="L214">
        <v>0.1</v>
      </c>
      <c r="M214">
        <v>4446900</v>
      </c>
      <c r="N214" t="s">
        <v>35</v>
      </c>
      <c r="O214" t="s">
        <v>36</v>
      </c>
      <c r="P214" t="s">
        <v>87</v>
      </c>
      <c r="Q214">
        <v>8</v>
      </c>
      <c r="R214" t="s">
        <v>588</v>
      </c>
      <c r="S214" t="s">
        <v>586</v>
      </c>
    </row>
    <row r="215" spans="1:19" x14ac:dyDescent="0.3">
      <c r="A215" t="s">
        <v>462</v>
      </c>
      <c r="B215" s="2">
        <v>45969</v>
      </c>
      <c r="C215" t="s">
        <v>63</v>
      </c>
      <c r="D215" t="s">
        <v>18</v>
      </c>
      <c r="E215" t="s">
        <v>42</v>
      </c>
      <c r="F215" t="s">
        <v>42</v>
      </c>
      <c r="G215" t="s">
        <v>125</v>
      </c>
      <c r="H215" t="s">
        <v>32</v>
      </c>
      <c r="I215" t="s">
        <v>52</v>
      </c>
      <c r="J215">
        <v>1</v>
      </c>
      <c r="K215">
        <v>329000</v>
      </c>
      <c r="L215">
        <v>0.05</v>
      </c>
      <c r="M215">
        <v>312550</v>
      </c>
      <c r="N215" t="s">
        <v>86</v>
      </c>
      <c r="O215" t="s">
        <v>60</v>
      </c>
      <c r="P215" t="s">
        <v>61</v>
      </c>
      <c r="Q215">
        <v>11</v>
      </c>
      <c r="R215" t="s">
        <v>577</v>
      </c>
      <c r="S215" t="s">
        <v>578</v>
      </c>
    </row>
    <row r="216" spans="1:19" x14ac:dyDescent="0.3">
      <c r="A216" t="s">
        <v>494</v>
      </c>
      <c r="B216" s="2">
        <v>45805</v>
      </c>
      <c r="C216" t="s">
        <v>82</v>
      </c>
      <c r="D216" t="s">
        <v>83</v>
      </c>
      <c r="E216" t="s">
        <v>84</v>
      </c>
      <c r="F216" t="s">
        <v>114</v>
      </c>
      <c r="G216" t="s">
        <v>160</v>
      </c>
      <c r="H216" t="s">
        <v>22</v>
      </c>
      <c r="I216" t="s">
        <v>23</v>
      </c>
      <c r="J216">
        <v>5</v>
      </c>
      <c r="K216">
        <v>80000</v>
      </c>
      <c r="L216">
        <v>0.05</v>
      </c>
      <c r="M216">
        <v>0</v>
      </c>
      <c r="N216" t="s">
        <v>35</v>
      </c>
      <c r="O216" t="s">
        <v>95</v>
      </c>
      <c r="P216" t="s">
        <v>26</v>
      </c>
      <c r="Q216">
        <v>5</v>
      </c>
      <c r="R216" t="s">
        <v>584</v>
      </c>
      <c r="S216" t="s">
        <v>583</v>
      </c>
    </row>
    <row r="217" spans="1:19" x14ac:dyDescent="0.3">
      <c r="A217" t="s">
        <v>181</v>
      </c>
      <c r="B217" s="2">
        <v>45706</v>
      </c>
      <c r="C217" t="s">
        <v>28</v>
      </c>
      <c r="D217" t="s">
        <v>29</v>
      </c>
      <c r="E217" t="s">
        <v>30</v>
      </c>
      <c r="F217" t="s">
        <v>20</v>
      </c>
      <c r="G217" t="s">
        <v>235</v>
      </c>
      <c r="H217" t="s">
        <v>101</v>
      </c>
      <c r="I217" t="s">
        <v>156</v>
      </c>
      <c r="J217">
        <v>15</v>
      </c>
      <c r="K217">
        <v>170000</v>
      </c>
      <c r="L217">
        <v>0.02</v>
      </c>
      <c r="M217">
        <v>2499000</v>
      </c>
      <c r="N217" t="s">
        <v>94</v>
      </c>
      <c r="O217" t="s">
        <v>75</v>
      </c>
      <c r="P217" t="s">
        <v>61</v>
      </c>
      <c r="Q217">
        <v>2</v>
      </c>
      <c r="R217" t="s">
        <v>579</v>
      </c>
      <c r="S217" t="s">
        <v>580</v>
      </c>
    </row>
    <row r="218" spans="1:19" x14ac:dyDescent="0.3">
      <c r="A218" t="s">
        <v>105</v>
      </c>
      <c r="B218" s="2">
        <v>45862</v>
      </c>
      <c r="C218" t="s">
        <v>106</v>
      </c>
      <c r="D218" t="s">
        <v>50</v>
      </c>
      <c r="E218" t="s">
        <v>107</v>
      </c>
      <c r="F218" t="s">
        <v>108</v>
      </c>
      <c r="G218" t="s">
        <v>109</v>
      </c>
      <c r="H218" t="s">
        <v>32</v>
      </c>
      <c r="I218" t="s">
        <v>44</v>
      </c>
      <c r="J218">
        <v>4</v>
      </c>
      <c r="K218">
        <v>140000</v>
      </c>
      <c r="L218">
        <v>0.05</v>
      </c>
      <c r="M218">
        <v>532000</v>
      </c>
      <c r="N218" t="s">
        <v>53</v>
      </c>
      <c r="O218" t="s">
        <v>36</v>
      </c>
      <c r="P218" t="s">
        <v>61</v>
      </c>
      <c r="Q218">
        <v>7</v>
      </c>
      <c r="R218" t="s">
        <v>585</v>
      </c>
      <c r="S218" t="s">
        <v>586</v>
      </c>
    </row>
    <row r="219" spans="1:19" x14ac:dyDescent="0.3">
      <c r="A219" t="s">
        <v>231</v>
      </c>
      <c r="B219" s="2">
        <v>45674</v>
      </c>
      <c r="C219" t="s">
        <v>39</v>
      </c>
      <c r="D219" t="s">
        <v>40</v>
      </c>
      <c r="E219" t="s">
        <v>42</v>
      </c>
      <c r="F219" t="s">
        <v>42</v>
      </c>
      <c r="G219" t="s">
        <v>71</v>
      </c>
      <c r="H219" t="s">
        <v>32</v>
      </c>
      <c r="I219" t="s">
        <v>33</v>
      </c>
      <c r="J219">
        <v>14</v>
      </c>
      <c r="K219">
        <v>335000</v>
      </c>
      <c r="L219">
        <v>0.02</v>
      </c>
      <c r="M219">
        <v>4596200</v>
      </c>
      <c r="N219" t="s">
        <v>35</v>
      </c>
      <c r="O219" t="s">
        <v>75</v>
      </c>
      <c r="P219" t="s">
        <v>61</v>
      </c>
      <c r="Q219">
        <v>1</v>
      </c>
      <c r="R219" t="s">
        <v>587</v>
      </c>
      <c r="S219" t="s">
        <v>580</v>
      </c>
    </row>
    <row r="220" spans="1:19" x14ac:dyDescent="0.3">
      <c r="A220" t="s">
        <v>298</v>
      </c>
      <c r="B220" s="2">
        <v>45806</v>
      </c>
      <c r="C220" t="s">
        <v>287</v>
      </c>
      <c r="D220" t="s">
        <v>22</v>
      </c>
      <c r="E220" t="s">
        <v>19</v>
      </c>
      <c r="F220" t="s">
        <v>20</v>
      </c>
      <c r="G220" t="s">
        <v>128</v>
      </c>
      <c r="H220" t="s">
        <v>22</v>
      </c>
      <c r="I220" t="s">
        <v>92</v>
      </c>
      <c r="J220">
        <v>13</v>
      </c>
      <c r="K220">
        <v>206000</v>
      </c>
      <c r="L220">
        <v>0.05</v>
      </c>
      <c r="M220">
        <v>2544100</v>
      </c>
      <c r="N220" t="s">
        <v>86</v>
      </c>
      <c r="O220" t="s">
        <v>60</v>
      </c>
      <c r="P220" t="s">
        <v>87</v>
      </c>
      <c r="Q220">
        <v>5</v>
      </c>
      <c r="R220" t="s">
        <v>584</v>
      </c>
      <c r="S220" t="s">
        <v>583</v>
      </c>
    </row>
    <row r="221" spans="1:19" x14ac:dyDescent="0.3">
      <c r="A221" t="s">
        <v>369</v>
      </c>
      <c r="B221" s="2">
        <v>45669</v>
      </c>
      <c r="C221" t="s">
        <v>147</v>
      </c>
      <c r="D221" t="s">
        <v>18</v>
      </c>
      <c r="E221" t="s">
        <v>148</v>
      </c>
      <c r="F221" t="s">
        <v>149</v>
      </c>
      <c r="G221" t="s">
        <v>21</v>
      </c>
      <c r="H221" t="s">
        <v>22</v>
      </c>
      <c r="I221" t="s">
        <v>23</v>
      </c>
      <c r="J221">
        <v>14</v>
      </c>
      <c r="K221">
        <v>20000</v>
      </c>
      <c r="L221">
        <v>0</v>
      </c>
      <c r="M221">
        <v>0</v>
      </c>
      <c r="N221" t="s">
        <v>94</v>
      </c>
      <c r="O221" t="s">
        <v>60</v>
      </c>
      <c r="P221" t="s">
        <v>26</v>
      </c>
      <c r="Q221">
        <v>1</v>
      </c>
      <c r="R221" t="s">
        <v>587</v>
      </c>
      <c r="S221" t="s">
        <v>580</v>
      </c>
    </row>
    <row r="222" spans="1:19" x14ac:dyDescent="0.3">
      <c r="A222" t="s">
        <v>237</v>
      </c>
      <c r="B222" s="2">
        <v>45807</v>
      </c>
      <c r="C222" t="s">
        <v>28</v>
      </c>
      <c r="D222" t="s">
        <v>29</v>
      </c>
      <c r="E222" t="s">
        <v>30</v>
      </c>
      <c r="F222" t="s">
        <v>20</v>
      </c>
      <c r="G222" t="s">
        <v>137</v>
      </c>
      <c r="H222" t="s">
        <v>138</v>
      </c>
      <c r="I222" t="s">
        <v>138</v>
      </c>
      <c r="J222">
        <v>2</v>
      </c>
      <c r="K222">
        <v>30000</v>
      </c>
      <c r="L222">
        <v>0</v>
      </c>
      <c r="M222">
        <v>60000</v>
      </c>
      <c r="N222" t="s">
        <v>94</v>
      </c>
      <c r="O222" t="s">
        <v>25</v>
      </c>
      <c r="P222" t="s">
        <v>61</v>
      </c>
      <c r="Q222">
        <v>5</v>
      </c>
      <c r="R222" t="s">
        <v>584</v>
      </c>
      <c r="S222" t="s">
        <v>583</v>
      </c>
    </row>
    <row r="223" spans="1:19" x14ac:dyDescent="0.3">
      <c r="A223" t="s">
        <v>240</v>
      </c>
      <c r="B223" s="2">
        <v>45692</v>
      </c>
      <c r="C223" t="s">
        <v>130</v>
      </c>
      <c r="D223" t="s">
        <v>131</v>
      </c>
      <c r="E223" t="s">
        <v>19</v>
      </c>
      <c r="F223" t="s">
        <v>20</v>
      </c>
      <c r="G223" t="s">
        <v>204</v>
      </c>
      <c r="H223" t="s">
        <v>101</v>
      </c>
      <c r="I223" t="s">
        <v>156</v>
      </c>
      <c r="J223">
        <v>10</v>
      </c>
      <c r="K223">
        <v>155000</v>
      </c>
      <c r="L223">
        <v>0.1</v>
      </c>
      <c r="M223">
        <v>1395000</v>
      </c>
      <c r="N223" t="s">
        <v>35</v>
      </c>
      <c r="O223" t="s">
        <v>46</v>
      </c>
      <c r="P223" t="s">
        <v>61</v>
      </c>
      <c r="Q223">
        <v>2</v>
      </c>
      <c r="R223" t="s">
        <v>579</v>
      </c>
      <c r="S223" t="s">
        <v>580</v>
      </c>
    </row>
    <row r="224" spans="1:19" x14ac:dyDescent="0.3">
      <c r="A224" t="s">
        <v>326</v>
      </c>
      <c r="B224" s="2">
        <v>45809</v>
      </c>
      <c r="C224" t="s">
        <v>56</v>
      </c>
      <c r="D224" t="s">
        <v>18</v>
      </c>
      <c r="E224" t="s">
        <v>42</v>
      </c>
      <c r="F224" t="s">
        <v>42</v>
      </c>
      <c r="G224" t="s">
        <v>295</v>
      </c>
      <c r="H224" t="s">
        <v>32</v>
      </c>
      <c r="I224" t="s">
        <v>58</v>
      </c>
      <c r="J224">
        <v>10</v>
      </c>
      <c r="K224">
        <v>380000</v>
      </c>
      <c r="L224">
        <v>0.02</v>
      </c>
      <c r="M224">
        <v>3724000</v>
      </c>
      <c r="N224" t="s">
        <v>94</v>
      </c>
      <c r="O224" t="s">
        <v>46</v>
      </c>
      <c r="P224" t="s">
        <v>61</v>
      </c>
      <c r="Q224">
        <v>6</v>
      </c>
      <c r="R224" t="s">
        <v>589</v>
      </c>
      <c r="S224" t="s">
        <v>583</v>
      </c>
    </row>
    <row r="225" spans="1:19" x14ac:dyDescent="0.3">
      <c r="A225" t="s">
        <v>98</v>
      </c>
      <c r="B225" s="2">
        <v>46000</v>
      </c>
      <c r="C225" t="s">
        <v>82</v>
      </c>
      <c r="D225" t="s">
        <v>83</v>
      </c>
      <c r="E225" t="s">
        <v>84</v>
      </c>
      <c r="F225" t="s">
        <v>114</v>
      </c>
      <c r="G225" t="s">
        <v>341</v>
      </c>
      <c r="H225" t="s">
        <v>101</v>
      </c>
      <c r="I225" t="s">
        <v>102</v>
      </c>
      <c r="J225">
        <v>6</v>
      </c>
      <c r="K225">
        <v>118000</v>
      </c>
      <c r="L225">
        <v>0</v>
      </c>
      <c r="M225">
        <v>0</v>
      </c>
      <c r="N225" t="s">
        <v>86</v>
      </c>
      <c r="O225" t="s">
        <v>95</v>
      </c>
      <c r="P225" t="s">
        <v>26</v>
      </c>
      <c r="Q225">
        <v>12</v>
      </c>
      <c r="R225" t="s">
        <v>590</v>
      </c>
      <c r="S225" t="s">
        <v>578</v>
      </c>
    </row>
    <row r="226" spans="1:19" x14ac:dyDescent="0.3">
      <c r="A226" t="s">
        <v>484</v>
      </c>
      <c r="B226" s="2">
        <v>45900</v>
      </c>
      <c r="C226" t="s">
        <v>17</v>
      </c>
      <c r="D226" t="s">
        <v>18</v>
      </c>
      <c r="E226" t="s">
        <v>19</v>
      </c>
      <c r="F226" t="s">
        <v>20</v>
      </c>
      <c r="G226" t="s">
        <v>64</v>
      </c>
      <c r="H226" t="s">
        <v>32</v>
      </c>
      <c r="I226" t="s">
        <v>65</v>
      </c>
      <c r="J226">
        <v>6</v>
      </c>
      <c r="K226">
        <v>495000</v>
      </c>
      <c r="L226">
        <v>0.02</v>
      </c>
      <c r="M226">
        <v>-2910600</v>
      </c>
      <c r="N226" t="s">
        <v>86</v>
      </c>
      <c r="O226" t="s">
        <v>145</v>
      </c>
      <c r="P226" t="s">
        <v>183</v>
      </c>
      <c r="Q226">
        <v>8</v>
      </c>
      <c r="R226" t="s">
        <v>588</v>
      </c>
      <c r="S226" t="s">
        <v>586</v>
      </c>
    </row>
    <row r="227" spans="1:19" x14ac:dyDescent="0.3">
      <c r="A227" t="s">
        <v>493</v>
      </c>
      <c r="B227" s="2">
        <v>45694</v>
      </c>
      <c r="C227" t="s">
        <v>159</v>
      </c>
      <c r="D227" t="s">
        <v>131</v>
      </c>
      <c r="E227" t="s">
        <v>84</v>
      </c>
      <c r="F227" t="s">
        <v>114</v>
      </c>
      <c r="G227" t="s">
        <v>169</v>
      </c>
      <c r="H227" t="s">
        <v>22</v>
      </c>
      <c r="I227" t="s">
        <v>23</v>
      </c>
      <c r="J227">
        <v>12</v>
      </c>
      <c r="K227">
        <v>40000</v>
      </c>
      <c r="L227">
        <v>0</v>
      </c>
      <c r="M227">
        <v>0</v>
      </c>
      <c r="N227" t="s">
        <v>53</v>
      </c>
      <c r="O227" t="s">
        <v>46</v>
      </c>
      <c r="P227" t="s">
        <v>26</v>
      </c>
      <c r="Q227">
        <v>2</v>
      </c>
      <c r="R227" t="s">
        <v>579</v>
      </c>
      <c r="S227" t="s">
        <v>580</v>
      </c>
    </row>
    <row r="228" spans="1:19" x14ac:dyDescent="0.3">
      <c r="A228" t="s">
        <v>251</v>
      </c>
      <c r="B228" s="2">
        <v>45682</v>
      </c>
      <c r="C228" t="s">
        <v>159</v>
      </c>
      <c r="D228" t="s">
        <v>131</v>
      </c>
      <c r="E228" t="s">
        <v>84</v>
      </c>
      <c r="F228" t="s">
        <v>114</v>
      </c>
      <c r="G228" t="s">
        <v>178</v>
      </c>
      <c r="H228" t="s">
        <v>101</v>
      </c>
      <c r="I228" t="s">
        <v>179</v>
      </c>
      <c r="J228">
        <v>6</v>
      </c>
      <c r="K228">
        <v>109000</v>
      </c>
      <c r="L228">
        <v>0</v>
      </c>
      <c r="M228">
        <v>-654000</v>
      </c>
      <c r="N228" t="s">
        <v>94</v>
      </c>
      <c r="O228" t="s">
        <v>25</v>
      </c>
      <c r="P228" t="s">
        <v>183</v>
      </c>
      <c r="Q228">
        <v>1</v>
      </c>
      <c r="R228" t="s">
        <v>587</v>
      </c>
      <c r="S228" t="s">
        <v>580</v>
      </c>
    </row>
    <row r="229" spans="1:19" x14ac:dyDescent="0.3">
      <c r="A229" t="s">
        <v>116</v>
      </c>
      <c r="B229" s="2">
        <v>45983</v>
      </c>
      <c r="C229" t="s">
        <v>117</v>
      </c>
      <c r="D229" t="s">
        <v>68</v>
      </c>
      <c r="E229" t="s">
        <v>123</v>
      </c>
      <c r="F229" t="s">
        <v>225</v>
      </c>
      <c r="G229" t="s">
        <v>128</v>
      </c>
      <c r="H229" t="s">
        <v>22</v>
      </c>
      <c r="I229" t="s">
        <v>92</v>
      </c>
      <c r="J229">
        <v>2</v>
      </c>
      <c r="K229">
        <v>192000</v>
      </c>
      <c r="L229">
        <v>0.05</v>
      </c>
      <c r="M229">
        <v>364800</v>
      </c>
      <c r="N229" t="s">
        <v>53</v>
      </c>
      <c r="O229" t="s">
        <v>36</v>
      </c>
      <c r="P229" t="s">
        <v>61</v>
      </c>
      <c r="Q229">
        <v>11</v>
      </c>
      <c r="R229" t="s">
        <v>577</v>
      </c>
      <c r="S229" t="s">
        <v>578</v>
      </c>
    </row>
    <row r="230" spans="1:19" x14ac:dyDescent="0.3">
      <c r="A230" t="s">
        <v>325</v>
      </c>
      <c r="B230" s="2">
        <v>45682</v>
      </c>
      <c r="C230" t="s">
        <v>154</v>
      </c>
      <c r="D230" t="s">
        <v>131</v>
      </c>
      <c r="E230" t="s">
        <v>19</v>
      </c>
      <c r="F230" t="s">
        <v>20</v>
      </c>
      <c r="G230" t="s">
        <v>57</v>
      </c>
      <c r="H230" t="s">
        <v>32</v>
      </c>
      <c r="I230" t="s">
        <v>58</v>
      </c>
      <c r="J230">
        <v>6</v>
      </c>
      <c r="K230">
        <v>762000</v>
      </c>
      <c r="L230">
        <v>0.02</v>
      </c>
      <c r="M230">
        <v>0</v>
      </c>
      <c r="N230" t="s">
        <v>94</v>
      </c>
      <c r="O230" t="s">
        <v>25</v>
      </c>
      <c r="P230" t="s">
        <v>26</v>
      </c>
      <c r="Q230">
        <v>1</v>
      </c>
      <c r="R230" t="s">
        <v>587</v>
      </c>
      <c r="S230" t="s">
        <v>580</v>
      </c>
    </row>
    <row r="231" spans="1:19" x14ac:dyDescent="0.3">
      <c r="A231" t="s">
        <v>332</v>
      </c>
      <c r="B231" s="2">
        <v>45789</v>
      </c>
      <c r="C231" t="s">
        <v>17</v>
      </c>
      <c r="D231" t="s">
        <v>18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>
        <v>5</v>
      </c>
      <c r="K231">
        <v>19000</v>
      </c>
      <c r="L231">
        <v>0.02</v>
      </c>
      <c r="M231">
        <v>93100</v>
      </c>
      <c r="N231" t="s">
        <v>53</v>
      </c>
      <c r="O231" t="s">
        <v>175</v>
      </c>
      <c r="P231" t="s">
        <v>61</v>
      </c>
      <c r="Q231">
        <v>5</v>
      </c>
      <c r="R231" t="s">
        <v>584</v>
      </c>
      <c r="S231" t="s">
        <v>583</v>
      </c>
    </row>
    <row r="232" spans="1:19" x14ac:dyDescent="0.3">
      <c r="A232" t="s">
        <v>500</v>
      </c>
      <c r="B232" s="2">
        <v>45723</v>
      </c>
      <c r="C232" t="s">
        <v>159</v>
      </c>
      <c r="D232" t="s">
        <v>131</v>
      </c>
      <c r="E232" t="s">
        <v>84</v>
      </c>
      <c r="F232" t="s">
        <v>114</v>
      </c>
      <c r="G232" t="s">
        <v>208</v>
      </c>
      <c r="H232" t="s">
        <v>209</v>
      </c>
      <c r="I232" t="s">
        <v>65</v>
      </c>
      <c r="J232">
        <v>15</v>
      </c>
      <c r="K232">
        <v>104000</v>
      </c>
      <c r="L232">
        <v>0.05</v>
      </c>
      <c r="M232">
        <v>-1482000</v>
      </c>
      <c r="N232" t="s">
        <v>94</v>
      </c>
      <c r="O232" t="s">
        <v>95</v>
      </c>
      <c r="P232" t="s">
        <v>183</v>
      </c>
      <c r="Q232">
        <v>3</v>
      </c>
      <c r="R232" t="s">
        <v>592</v>
      </c>
      <c r="S232" t="s">
        <v>580</v>
      </c>
    </row>
    <row r="233" spans="1:19" x14ac:dyDescent="0.3">
      <c r="A233" t="s">
        <v>268</v>
      </c>
      <c r="B233" s="2">
        <v>45833</v>
      </c>
      <c r="C233" t="s">
        <v>117</v>
      </c>
      <c r="D233" t="s">
        <v>68</v>
      </c>
      <c r="E233" t="s">
        <v>123</v>
      </c>
      <c r="F233" t="s">
        <v>225</v>
      </c>
      <c r="G233" t="s">
        <v>204</v>
      </c>
      <c r="H233" t="s">
        <v>101</v>
      </c>
      <c r="I233" t="s">
        <v>156</v>
      </c>
      <c r="J233">
        <v>12</v>
      </c>
      <c r="K233">
        <v>152000</v>
      </c>
      <c r="L233">
        <v>0.05</v>
      </c>
      <c r="M233">
        <v>1732800</v>
      </c>
      <c r="N233" t="s">
        <v>53</v>
      </c>
      <c r="O233" t="s">
        <v>60</v>
      </c>
      <c r="P233" t="s">
        <v>61</v>
      </c>
      <c r="Q233">
        <v>6</v>
      </c>
      <c r="R233" t="s">
        <v>589</v>
      </c>
      <c r="S233" t="s">
        <v>583</v>
      </c>
    </row>
    <row r="234" spans="1:19" x14ac:dyDescent="0.3">
      <c r="A234" t="s">
        <v>229</v>
      </c>
      <c r="B234" s="2">
        <v>45877</v>
      </c>
      <c r="C234" t="s">
        <v>82</v>
      </c>
      <c r="D234" t="s">
        <v>83</v>
      </c>
      <c r="E234" t="s">
        <v>84</v>
      </c>
      <c r="F234" t="s">
        <v>114</v>
      </c>
      <c r="G234" t="s">
        <v>208</v>
      </c>
      <c r="H234" t="s">
        <v>209</v>
      </c>
      <c r="I234" t="s">
        <v>65</v>
      </c>
      <c r="J234">
        <v>10</v>
      </c>
      <c r="K234">
        <v>98000</v>
      </c>
      <c r="L234">
        <v>0</v>
      </c>
      <c r="M234">
        <v>0</v>
      </c>
      <c r="N234" t="s">
        <v>53</v>
      </c>
      <c r="O234" t="s">
        <v>145</v>
      </c>
      <c r="P234" t="s">
        <v>26</v>
      </c>
      <c r="Q234">
        <v>8</v>
      </c>
      <c r="R234" t="s">
        <v>588</v>
      </c>
      <c r="S234" t="s">
        <v>586</v>
      </c>
    </row>
    <row r="235" spans="1:19" x14ac:dyDescent="0.3">
      <c r="A235" t="s">
        <v>299</v>
      </c>
      <c r="B235" s="2">
        <v>45712</v>
      </c>
      <c r="C235" t="s">
        <v>82</v>
      </c>
      <c r="D235" t="s">
        <v>83</v>
      </c>
      <c r="E235" t="s">
        <v>84</v>
      </c>
      <c r="F235" t="s">
        <v>114</v>
      </c>
      <c r="G235" t="s">
        <v>144</v>
      </c>
      <c r="H235" t="s">
        <v>32</v>
      </c>
      <c r="I235" t="s">
        <v>44</v>
      </c>
      <c r="J235">
        <v>11</v>
      </c>
      <c r="K235">
        <v>243000</v>
      </c>
      <c r="L235">
        <v>0.02</v>
      </c>
      <c r="M235">
        <v>2619540</v>
      </c>
      <c r="N235" t="s">
        <v>94</v>
      </c>
      <c r="O235" t="s">
        <v>95</v>
      </c>
      <c r="P235" t="s">
        <v>61</v>
      </c>
      <c r="Q235">
        <v>2</v>
      </c>
      <c r="R235" t="s">
        <v>579</v>
      </c>
      <c r="S235" t="s">
        <v>580</v>
      </c>
    </row>
    <row r="236" spans="1:19" x14ac:dyDescent="0.3">
      <c r="A236" t="s">
        <v>254</v>
      </c>
      <c r="B236" s="2">
        <v>45745</v>
      </c>
      <c r="C236" t="s">
        <v>67</v>
      </c>
      <c r="D236" t="s">
        <v>68</v>
      </c>
      <c r="E236" t="s">
        <v>69</v>
      </c>
      <c r="F236" t="s">
        <v>70</v>
      </c>
      <c r="G236" t="s">
        <v>109</v>
      </c>
      <c r="H236" t="s">
        <v>32</v>
      </c>
      <c r="I236" t="s">
        <v>44</v>
      </c>
      <c r="J236">
        <v>8</v>
      </c>
      <c r="K236">
        <v>135000</v>
      </c>
      <c r="L236">
        <v>0</v>
      </c>
      <c r="M236">
        <v>-1080000</v>
      </c>
      <c r="N236" t="s">
        <v>53</v>
      </c>
      <c r="O236" t="s">
        <v>95</v>
      </c>
      <c r="P236" t="s">
        <v>183</v>
      </c>
      <c r="Q236">
        <v>3</v>
      </c>
      <c r="R236" t="s">
        <v>592</v>
      </c>
      <c r="S236" t="s">
        <v>580</v>
      </c>
    </row>
    <row r="237" spans="1:19" x14ac:dyDescent="0.3">
      <c r="A237" t="s">
        <v>72</v>
      </c>
      <c r="B237" s="2">
        <v>45800</v>
      </c>
      <c r="C237" t="s">
        <v>17</v>
      </c>
      <c r="D237" t="s">
        <v>18</v>
      </c>
      <c r="E237" t="s">
        <v>19</v>
      </c>
      <c r="F237" t="s">
        <v>20</v>
      </c>
      <c r="G237" t="s">
        <v>74</v>
      </c>
      <c r="H237" t="s">
        <v>32</v>
      </c>
      <c r="I237" t="s">
        <v>33</v>
      </c>
      <c r="J237">
        <v>11</v>
      </c>
      <c r="K237">
        <v>91000</v>
      </c>
      <c r="L237">
        <v>0.05</v>
      </c>
      <c r="M237">
        <v>950950</v>
      </c>
      <c r="N237" t="s">
        <v>35</v>
      </c>
      <c r="O237" t="s">
        <v>75</v>
      </c>
      <c r="P237" t="s">
        <v>61</v>
      </c>
      <c r="Q237">
        <v>5</v>
      </c>
      <c r="R237" t="s">
        <v>584</v>
      </c>
      <c r="S237" t="s">
        <v>583</v>
      </c>
    </row>
    <row r="238" spans="1:19" x14ac:dyDescent="0.3">
      <c r="A238" t="s">
        <v>189</v>
      </c>
      <c r="B238" s="2">
        <v>45733</v>
      </c>
      <c r="C238" t="s">
        <v>190</v>
      </c>
      <c r="D238" t="s">
        <v>191</v>
      </c>
      <c r="E238" t="s">
        <v>42</v>
      </c>
      <c r="F238" t="s">
        <v>42</v>
      </c>
      <c r="G238" t="s">
        <v>235</v>
      </c>
      <c r="H238" t="s">
        <v>101</v>
      </c>
      <c r="I238" t="s">
        <v>156</v>
      </c>
      <c r="J238">
        <v>1</v>
      </c>
      <c r="K238">
        <v>172000</v>
      </c>
      <c r="L238">
        <v>0</v>
      </c>
      <c r="M238">
        <v>172000</v>
      </c>
      <c r="N238" t="s">
        <v>35</v>
      </c>
      <c r="O238" t="s">
        <v>145</v>
      </c>
      <c r="P238" t="s">
        <v>61</v>
      </c>
      <c r="Q238">
        <v>3</v>
      </c>
      <c r="R238" t="s">
        <v>592</v>
      </c>
      <c r="S238" t="s">
        <v>580</v>
      </c>
    </row>
    <row r="239" spans="1:19" x14ac:dyDescent="0.3">
      <c r="A239" t="s">
        <v>304</v>
      </c>
      <c r="B239" s="2">
        <v>45845</v>
      </c>
      <c r="C239" t="s">
        <v>89</v>
      </c>
      <c r="D239" t="s">
        <v>90</v>
      </c>
      <c r="E239" t="s">
        <v>19</v>
      </c>
      <c r="F239" t="s">
        <v>20</v>
      </c>
      <c r="G239" t="s">
        <v>57</v>
      </c>
      <c r="H239" t="s">
        <v>32</v>
      </c>
      <c r="I239" t="s">
        <v>58</v>
      </c>
      <c r="J239">
        <v>10</v>
      </c>
      <c r="K239">
        <v>603000</v>
      </c>
      <c r="L239">
        <v>0</v>
      </c>
      <c r="M239">
        <v>-6030000</v>
      </c>
      <c r="N239" t="s">
        <v>94</v>
      </c>
      <c r="O239" t="s">
        <v>145</v>
      </c>
      <c r="P239" t="s">
        <v>183</v>
      </c>
      <c r="Q239">
        <v>7</v>
      </c>
      <c r="R239" t="s">
        <v>585</v>
      </c>
      <c r="S239" t="s">
        <v>586</v>
      </c>
    </row>
    <row r="240" spans="1:19" x14ac:dyDescent="0.3">
      <c r="A240" t="s">
        <v>317</v>
      </c>
      <c r="B240" s="2">
        <v>45850</v>
      </c>
      <c r="C240" t="s">
        <v>67</v>
      </c>
      <c r="D240" t="s">
        <v>68</v>
      </c>
      <c r="E240" t="s">
        <v>69</v>
      </c>
      <c r="F240" t="s">
        <v>70</v>
      </c>
      <c r="G240" t="s">
        <v>74</v>
      </c>
      <c r="H240" t="s">
        <v>32</v>
      </c>
      <c r="I240" t="s">
        <v>33</v>
      </c>
      <c r="J240">
        <v>10</v>
      </c>
      <c r="K240">
        <v>90000</v>
      </c>
      <c r="L240">
        <v>0</v>
      </c>
      <c r="M240">
        <v>0</v>
      </c>
      <c r="N240" t="s">
        <v>53</v>
      </c>
      <c r="O240" t="s">
        <v>95</v>
      </c>
      <c r="P240" t="s">
        <v>26</v>
      </c>
      <c r="Q240">
        <v>7</v>
      </c>
      <c r="R240" t="s">
        <v>585</v>
      </c>
      <c r="S240" t="s">
        <v>586</v>
      </c>
    </row>
    <row r="241" spans="1:19" x14ac:dyDescent="0.3">
      <c r="A241" t="s">
        <v>222</v>
      </c>
      <c r="B241" s="2">
        <v>45820</v>
      </c>
      <c r="C241" t="s">
        <v>147</v>
      </c>
      <c r="D241" t="s">
        <v>18</v>
      </c>
      <c r="E241" t="s">
        <v>148</v>
      </c>
      <c r="F241" t="s">
        <v>149</v>
      </c>
      <c r="G241" t="s">
        <v>169</v>
      </c>
      <c r="H241" t="s">
        <v>22</v>
      </c>
      <c r="I241" t="s">
        <v>23</v>
      </c>
      <c r="J241">
        <v>2</v>
      </c>
      <c r="K241">
        <v>39000</v>
      </c>
      <c r="L241">
        <v>0</v>
      </c>
      <c r="M241">
        <v>-78000</v>
      </c>
      <c r="N241" t="s">
        <v>35</v>
      </c>
      <c r="O241" t="s">
        <v>25</v>
      </c>
      <c r="P241" t="s">
        <v>183</v>
      </c>
      <c r="Q241">
        <v>6</v>
      </c>
      <c r="R241" t="s">
        <v>589</v>
      </c>
      <c r="S241" t="s">
        <v>583</v>
      </c>
    </row>
    <row r="242" spans="1:19" x14ac:dyDescent="0.3">
      <c r="A242" t="s">
        <v>596</v>
      </c>
      <c r="B242" s="2">
        <v>45925</v>
      </c>
      <c r="C242" t="s">
        <v>89</v>
      </c>
      <c r="D242" t="s">
        <v>90</v>
      </c>
      <c r="E242" t="s">
        <v>19</v>
      </c>
      <c r="F242" t="s">
        <v>20</v>
      </c>
      <c r="G242" t="s">
        <v>178</v>
      </c>
      <c r="H242" t="s">
        <v>101</v>
      </c>
      <c r="I242" t="s">
        <v>179</v>
      </c>
      <c r="J242">
        <v>2</v>
      </c>
      <c r="K242">
        <v>108000</v>
      </c>
      <c r="L242">
        <v>0.02</v>
      </c>
      <c r="M242">
        <v>211680</v>
      </c>
      <c r="N242" t="s">
        <v>94</v>
      </c>
      <c r="O242" t="s">
        <v>36</v>
      </c>
      <c r="P242" t="s">
        <v>61</v>
      </c>
      <c r="Q242">
        <v>9</v>
      </c>
      <c r="R242" t="s">
        <v>591</v>
      </c>
      <c r="S242" t="s">
        <v>586</v>
      </c>
    </row>
    <row r="243" spans="1:19" x14ac:dyDescent="0.3">
      <c r="A243" t="s">
        <v>226</v>
      </c>
      <c r="B243" s="2">
        <v>45973</v>
      </c>
      <c r="C243" t="s">
        <v>135</v>
      </c>
      <c r="D243" t="s">
        <v>50</v>
      </c>
      <c r="E243" t="s">
        <v>107</v>
      </c>
      <c r="F243" t="s">
        <v>108</v>
      </c>
      <c r="G243" t="s">
        <v>204</v>
      </c>
      <c r="H243" t="s">
        <v>101</v>
      </c>
      <c r="I243" t="s">
        <v>156</v>
      </c>
      <c r="J243">
        <v>4</v>
      </c>
      <c r="K243">
        <v>171000</v>
      </c>
      <c r="L243">
        <v>0</v>
      </c>
      <c r="M243">
        <v>684000</v>
      </c>
      <c r="N243" t="s">
        <v>86</v>
      </c>
      <c r="O243" t="s">
        <v>25</v>
      </c>
      <c r="P243" t="s">
        <v>61</v>
      </c>
      <c r="Q243">
        <v>11</v>
      </c>
      <c r="R243" t="s">
        <v>577</v>
      </c>
      <c r="S243" t="s">
        <v>578</v>
      </c>
    </row>
    <row r="244" spans="1:19" x14ac:dyDescent="0.3">
      <c r="A244" t="s">
        <v>249</v>
      </c>
      <c r="B244" s="2">
        <v>45748</v>
      </c>
      <c r="C244" t="s">
        <v>67</v>
      </c>
      <c r="D244" t="s">
        <v>68</v>
      </c>
      <c r="E244" t="s">
        <v>69</v>
      </c>
      <c r="F244" t="s">
        <v>70</v>
      </c>
      <c r="G244" t="s">
        <v>74</v>
      </c>
      <c r="H244" t="s">
        <v>32</v>
      </c>
      <c r="I244" t="s">
        <v>33</v>
      </c>
      <c r="J244">
        <v>13</v>
      </c>
      <c r="K244">
        <v>96000</v>
      </c>
      <c r="L244">
        <v>0.02</v>
      </c>
      <c r="M244">
        <v>-1223040</v>
      </c>
      <c r="N244" t="s">
        <v>53</v>
      </c>
      <c r="O244" t="s">
        <v>60</v>
      </c>
      <c r="P244" t="s">
        <v>183</v>
      </c>
      <c r="Q244">
        <v>4</v>
      </c>
      <c r="R244" t="s">
        <v>582</v>
      </c>
      <c r="S244" t="s">
        <v>583</v>
      </c>
    </row>
    <row r="245" spans="1:19" x14ac:dyDescent="0.3">
      <c r="A245" t="s">
        <v>392</v>
      </c>
      <c r="B245" s="2">
        <v>45941</v>
      </c>
      <c r="C245" t="s">
        <v>113</v>
      </c>
      <c r="D245" t="s">
        <v>29</v>
      </c>
      <c r="E245" t="s">
        <v>84</v>
      </c>
      <c r="F245" t="s">
        <v>114</v>
      </c>
      <c r="G245" t="s">
        <v>137</v>
      </c>
      <c r="H245" t="s">
        <v>138</v>
      </c>
      <c r="I245" t="s">
        <v>138</v>
      </c>
      <c r="J245">
        <v>15</v>
      </c>
      <c r="K245">
        <v>27000</v>
      </c>
      <c r="L245">
        <v>0.02</v>
      </c>
      <c r="M245">
        <v>396900</v>
      </c>
      <c r="N245" t="s">
        <v>35</v>
      </c>
      <c r="O245" t="s">
        <v>145</v>
      </c>
      <c r="P245" t="s">
        <v>61</v>
      </c>
      <c r="Q245">
        <v>10</v>
      </c>
      <c r="R245" t="s">
        <v>593</v>
      </c>
      <c r="S245" t="s">
        <v>578</v>
      </c>
    </row>
    <row r="246" spans="1:19" x14ac:dyDescent="0.3">
      <c r="A246" t="s">
        <v>306</v>
      </c>
      <c r="B246" s="2">
        <v>45920</v>
      </c>
      <c r="C246" t="s">
        <v>28</v>
      </c>
      <c r="D246" t="s">
        <v>29</v>
      </c>
      <c r="E246" t="s">
        <v>30</v>
      </c>
      <c r="F246" t="s">
        <v>20</v>
      </c>
      <c r="G246" t="s">
        <v>71</v>
      </c>
      <c r="H246" t="s">
        <v>32</v>
      </c>
      <c r="I246" t="s">
        <v>33</v>
      </c>
      <c r="J246">
        <v>4</v>
      </c>
      <c r="K246">
        <v>274000</v>
      </c>
      <c r="L246">
        <v>0</v>
      </c>
      <c r="M246">
        <v>1096000</v>
      </c>
      <c r="N246" t="s">
        <v>94</v>
      </c>
      <c r="O246" t="s">
        <v>75</v>
      </c>
      <c r="P246" t="s">
        <v>61</v>
      </c>
      <c r="Q246">
        <v>9</v>
      </c>
      <c r="R246" t="s">
        <v>591</v>
      </c>
      <c r="S246" t="s">
        <v>586</v>
      </c>
    </row>
    <row r="247" spans="1:19" x14ac:dyDescent="0.3">
      <c r="A247" t="s">
        <v>597</v>
      </c>
      <c r="B247" s="2">
        <v>45844</v>
      </c>
      <c r="C247" t="s">
        <v>113</v>
      </c>
      <c r="D247" t="s">
        <v>29</v>
      </c>
      <c r="E247" t="s">
        <v>84</v>
      </c>
      <c r="F247" t="s">
        <v>114</v>
      </c>
      <c r="G247" t="s">
        <v>109</v>
      </c>
      <c r="H247" t="s">
        <v>32</v>
      </c>
      <c r="I247" t="s">
        <v>44</v>
      </c>
      <c r="J247">
        <v>8</v>
      </c>
      <c r="K247">
        <v>164000</v>
      </c>
      <c r="L247">
        <v>0.1</v>
      </c>
      <c r="M247">
        <v>1180800</v>
      </c>
      <c r="N247" t="s">
        <v>86</v>
      </c>
      <c r="O247" t="s">
        <v>60</v>
      </c>
      <c r="P247" t="s">
        <v>61</v>
      </c>
      <c r="Q247">
        <v>7</v>
      </c>
      <c r="R247" t="s">
        <v>585</v>
      </c>
      <c r="S247" t="s">
        <v>586</v>
      </c>
    </row>
    <row r="248" spans="1:19" x14ac:dyDescent="0.3">
      <c r="A248" t="s">
        <v>437</v>
      </c>
      <c r="B248" s="2">
        <v>45818</v>
      </c>
      <c r="C248" t="s">
        <v>89</v>
      </c>
      <c r="D248" t="s">
        <v>90</v>
      </c>
      <c r="E248" t="s">
        <v>19</v>
      </c>
      <c r="F248" t="s">
        <v>20</v>
      </c>
      <c r="G248" t="s">
        <v>204</v>
      </c>
      <c r="H248" t="s">
        <v>101</v>
      </c>
      <c r="I248" t="s">
        <v>156</v>
      </c>
      <c r="J248">
        <v>9</v>
      </c>
      <c r="K248">
        <v>149000</v>
      </c>
      <c r="L248">
        <v>0.05</v>
      </c>
      <c r="M248">
        <v>1273950</v>
      </c>
      <c r="N248" t="s">
        <v>86</v>
      </c>
      <c r="O248" t="s">
        <v>46</v>
      </c>
      <c r="P248" t="s">
        <v>87</v>
      </c>
      <c r="Q248">
        <v>6</v>
      </c>
      <c r="R248" t="s">
        <v>589</v>
      </c>
      <c r="S248" t="s">
        <v>583</v>
      </c>
    </row>
    <row r="249" spans="1:19" x14ac:dyDescent="0.3">
      <c r="A249" t="s">
        <v>184</v>
      </c>
      <c r="B249" s="2">
        <v>45822</v>
      </c>
      <c r="C249" t="s">
        <v>82</v>
      </c>
      <c r="D249" t="s">
        <v>83</v>
      </c>
      <c r="E249" t="s">
        <v>84</v>
      </c>
      <c r="F249" t="s">
        <v>114</v>
      </c>
      <c r="G249" t="s">
        <v>235</v>
      </c>
      <c r="H249" t="s">
        <v>101</v>
      </c>
      <c r="I249" t="s">
        <v>156</v>
      </c>
      <c r="J249">
        <v>8</v>
      </c>
      <c r="K249">
        <v>205000</v>
      </c>
      <c r="L249">
        <v>0.1</v>
      </c>
      <c r="M249">
        <v>1476000</v>
      </c>
      <c r="N249" t="s">
        <v>35</v>
      </c>
      <c r="O249" t="s">
        <v>46</v>
      </c>
      <c r="P249" t="s">
        <v>61</v>
      </c>
      <c r="Q249">
        <v>6</v>
      </c>
      <c r="R249" t="s">
        <v>589</v>
      </c>
      <c r="S249" t="s">
        <v>583</v>
      </c>
    </row>
    <row r="250" spans="1:19" x14ac:dyDescent="0.3">
      <c r="A250" t="s">
        <v>598</v>
      </c>
      <c r="B250" s="2">
        <v>45726</v>
      </c>
      <c r="C250" t="s">
        <v>56</v>
      </c>
      <c r="D250" t="s">
        <v>18</v>
      </c>
      <c r="E250" t="s">
        <v>42</v>
      </c>
      <c r="F250" t="s">
        <v>42</v>
      </c>
      <c r="G250" t="s">
        <v>341</v>
      </c>
      <c r="H250" t="s">
        <v>101</v>
      </c>
      <c r="I250" t="s">
        <v>102</v>
      </c>
      <c r="J250">
        <v>15</v>
      </c>
      <c r="K250">
        <v>137000</v>
      </c>
      <c r="L250">
        <v>0</v>
      </c>
      <c r="M250">
        <v>2055000</v>
      </c>
      <c r="N250" t="s">
        <v>35</v>
      </c>
      <c r="O250" t="s">
        <v>175</v>
      </c>
      <c r="P250" t="s">
        <v>61</v>
      </c>
      <c r="Q250">
        <v>3</v>
      </c>
      <c r="R250" t="s">
        <v>592</v>
      </c>
      <c r="S250" t="s">
        <v>580</v>
      </c>
    </row>
    <row r="251" spans="1:19" x14ac:dyDescent="0.3">
      <c r="A251" t="s">
        <v>376</v>
      </c>
      <c r="B251" s="2">
        <v>45744</v>
      </c>
      <c r="C251" t="s">
        <v>117</v>
      </c>
      <c r="D251" t="s">
        <v>68</v>
      </c>
      <c r="E251" t="s">
        <v>123</v>
      </c>
      <c r="F251" t="s">
        <v>225</v>
      </c>
      <c r="G251" t="s">
        <v>144</v>
      </c>
      <c r="H251" t="s">
        <v>32</v>
      </c>
      <c r="I251" t="s">
        <v>44</v>
      </c>
      <c r="J251">
        <v>15</v>
      </c>
      <c r="K251">
        <v>266000</v>
      </c>
      <c r="L251">
        <v>0</v>
      </c>
      <c r="M251">
        <v>3990000</v>
      </c>
      <c r="N251" t="s">
        <v>53</v>
      </c>
      <c r="O251" t="s">
        <v>60</v>
      </c>
      <c r="P251" t="s">
        <v>61</v>
      </c>
      <c r="Q251">
        <v>3</v>
      </c>
      <c r="R251" t="s">
        <v>592</v>
      </c>
      <c r="S251" t="s">
        <v>580</v>
      </c>
    </row>
    <row r="252" spans="1:19" x14ac:dyDescent="0.3">
      <c r="A252" t="s">
        <v>599</v>
      </c>
      <c r="B252" s="2">
        <v>45788</v>
      </c>
      <c r="C252" t="s">
        <v>154</v>
      </c>
      <c r="D252" t="s">
        <v>131</v>
      </c>
      <c r="E252" t="s">
        <v>19</v>
      </c>
      <c r="F252" t="s">
        <v>20</v>
      </c>
      <c r="G252" t="s">
        <v>178</v>
      </c>
      <c r="H252" t="s">
        <v>101</v>
      </c>
      <c r="I252" t="s">
        <v>179</v>
      </c>
      <c r="J252">
        <v>5</v>
      </c>
      <c r="K252">
        <v>91000</v>
      </c>
      <c r="L252">
        <v>0</v>
      </c>
      <c r="M252">
        <v>-455000</v>
      </c>
      <c r="N252" t="s">
        <v>53</v>
      </c>
      <c r="O252" t="s">
        <v>60</v>
      </c>
      <c r="P252" t="s">
        <v>183</v>
      </c>
      <c r="Q252">
        <v>5</v>
      </c>
      <c r="R252" t="s">
        <v>584</v>
      </c>
      <c r="S252" t="s">
        <v>583</v>
      </c>
    </row>
    <row r="253" spans="1:19" x14ac:dyDescent="0.3">
      <c r="A253" t="s">
        <v>351</v>
      </c>
      <c r="B253" s="2">
        <v>45917</v>
      </c>
      <c r="C253" t="s">
        <v>117</v>
      </c>
      <c r="D253" t="s">
        <v>68</v>
      </c>
      <c r="E253" t="s">
        <v>123</v>
      </c>
      <c r="F253" t="s">
        <v>225</v>
      </c>
      <c r="G253" t="s">
        <v>128</v>
      </c>
      <c r="H253" t="s">
        <v>22</v>
      </c>
      <c r="I253" t="s">
        <v>92</v>
      </c>
      <c r="J253">
        <v>3</v>
      </c>
      <c r="K253">
        <v>192000</v>
      </c>
      <c r="L253">
        <v>0.1</v>
      </c>
      <c r="M253">
        <v>-518400</v>
      </c>
      <c r="N253" t="s">
        <v>53</v>
      </c>
      <c r="O253" t="s">
        <v>75</v>
      </c>
      <c r="P253" t="s">
        <v>183</v>
      </c>
      <c r="Q253">
        <v>9</v>
      </c>
      <c r="R253" t="s">
        <v>591</v>
      </c>
      <c r="S253" t="s">
        <v>586</v>
      </c>
    </row>
    <row r="254" spans="1:19" x14ac:dyDescent="0.3">
      <c r="A254" t="s">
        <v>308</v>
      </c>
      <c r="B254" s="2">
        <v>45674</v>
      </c>
      <c r="C254" t="s">
        <v>82</v>
      </c>
      <c r="D254" t="s">
        <v>83</v>
      </c>
      <c r="E254" t="s">
        <v>84</v>
      </c>
      <c r="F254" t="s">
        <v>114</v>
      </c>
      <c r="G254" t="s">
        <v>57</v>
      </c>
      <c r="H254" t="s">
        <v>32</v>
      </c>
      <c r="I254" t="s">
        <v>58</v>
      </c>
      <c r="J254">
        <v>11</v>
      </c>
      <c r="K254">
        <v>755000</v>
      </c>
      <c r="L254">
        <v>0.1</v>
      </c>
      <c r="M254">
        <v>7474500</v>
      </c>
      <c r="N254" t="s">
        <v>35</v>
      </c>
      <c r="O254" t="s">
        <v>95</v>
      </c>
      <c r="P254" t="s">
        <v>61</v>
      </c>
      <c r="Q254">
        <v>1</v>
      </c>
      <c r="R254" t="s">
        <v>587</v>
      </c>
      <c r="S254" t="s">
        <v>580</v>
      </c>
    </row>
    <row r="255" spans="1:19" x14ac:dyDescent="0.3">
      <c r="A255" t="s">
        <v>481</v>
      </c>
      <c r="B255" s="2">
        <v>45976</v>
      </c>
      <c r="C255" t="s">
        <v>49</v>
      </c>
      <c r="D255" t="s">
        <v>50</v>
      </c>
      <c r="E255" t="s">
        <v>19</v>
      </c>
      <c r="F255" t="s">
        <v>20</v>
      </c>
      <c r="G255" t="s">
        <v>204</v>
      </c>
      <c r="H255" t="s">
        <v>101</v>
      </c>
      <c r="I255" t="s">
        <v>156</v>
      </c>
      <c r="J255">
        <v>15</v>
      </c>
      <c r="K255">
        <v>145000</v>
      </c>
      <c r="L255">
        <v>0.1</v>
      </c>
      <c r="M255">
        <v>1957500</v>
      </c>
      <c r="N255" t="s">
        <v>53</v>
      </c>
      <c r="O255" t="s">
        <v>25</v>
      </c>
      <c r="P255" t="s">
        <v>61</v>
      </c>
      <c r="Q255">
        <v>11</v>
      </c>
      <c r="R255" t="s">
        <v>577</v>
      </c>
      <c r="S255" t="s">
        <v>578</v>
      </c>
    </row>
    <row r="256" spans="1:19" x14ac:dyDescent="0.3">
      <c r="A256" t="s">
        <v>161</v>
      </c>
      <c r="B256" s="2">
        <v>45785</v>
      </c>
      <c r="C256" t="s">
        <v>89</v>
      </c>
      <c r="D256" t="s">
        <v>90</v>
      </c>
      <c r="E256" t="s">
        <v>19</v>
      </c>
      <c r="F256" t="s">
        <v>20</v>
      </c>
      <c r="G256" t="s">
        <v>137</v>
      </c>
      <c r="H256" t="s">
        <v>138</v>
      </c>
      <c r="I256" t="s">
        <v>138</v>
      </c>
      <c r="J256">
        <v>8</v>
      </c>
      <c r="K256">
        <v>26000</v>
      </c>
      <c r="L256">
        <v>0</v>
      </c>
      <c r="M256">
        <v>-208000</v>
      </c>
      <c r="N256" t="s">
        <v>86</v>
      </c>
      <c r="O256" t="s">
        <v>46</v>
      </c>
      <c r="P256" t="s">
        <v>183</v>
      </c>
      <c r="Q256">
        <v>5</v>
      </c>
      <c r="R256" t="s">
        <v>584</v>
      </c>
      <c r="S256" t="s">
        <v>583</v>
      </c>
    </row>
    <row r="257" spans="1:19" x14ac:dyDescent="0.3">
      <c r="A257" t="s">
        <v>374</v>
      </c>
      <c r="B257" s="2">
        <v>45885</v>
      </c>
      <c r="C257" t="s">
        <v>56</v>
      </c>
      <c r="D257" t="s">
        <v>18</v>
      </c>
      <c r="E257" t="s">
        <v>42</v>
      </c>
      <c r="F257" t="s">
        <v>42</v>
      </c>
      <c r="G257" t="s">
        <v>204</v>
      </c>
      <c r="H257" t="s">
        <v>101</v>
      </c>
      <c r="I257" t="s">
        <v>156</v>
      </c>
      <c r="J257">
        <v>8</v>
      </c>
      <c r="K257">
        <v>155000</v>
      </c>
      <c r="L257">
        <v>0</v>
      </c>
      <c r="M257">
        <v>1240000</v>
      </c>
      <c r="N257" t="s">
        <v>35</v>
      </c>
      <c r="O257" t="s">
        <v>145</v>
      </c>
      <c r="P257" t="s">
        <v>61</v>
      </c>
      <c r="Q257">
        <v>8</v>
      </c>
      <c r="R257" t="s">
        <v>588</v>
      </c>
      <c r="S257" t="s">
        <v>586</v>
      </c>
    </row>
    <row r="258" spans="1:19" x14ac:dyDescent="0.3">
      <c r="A258" t="s">
        <v>336</v>
      </c>
      <c r="B258" s="2">
        <v>45823</v>
      </c>
      <c r="C258" t="s">
        <v>159</v>
      </c>
      <c r="D258" t="s">
        <v>131</v>
      </c>
      <c r="E258" t="s">
        <v>84</v>
      </c>
      <c r="F258" t="s">
        <v>114</v>
      </c>
      <c r="G258" t="s">
        <v>64</v>
      </c>
      <c r="H258" t="s">
        <v>32</v>
      </c>
      <c r="I258" t="s">
        <v>65</v>
      </c>
      <c r="J258">
        <v>3</v>
      </c>
      <c r="K258">
        <v>589000</v>
      </c>
      <c r="L258">
        <v>0.02</v>
      </c>
      <c r="M258">
        <v>0</v>
      </c>
      <c r="N258" t="s">
        <v>86</v>
      </c>
      <c r="O258" t="s">
        <v>145</v>
      </c>
      <c r="P258" t="s">
        <v>26</v>
      </c>
      <c r="Q258">
        <v>6</v>
      </c>
      <c r="R258" t="s">
        <v>589</v>
      </c>
      <c r="S258" t="s">
        <v>583</v>
      </c>
    </row>
    <row r="259" spans="1:19" x14ac:dyDescent="0.3">
      <c r="A259" t="s">
        <v>600</v>
      </c>
      <c r="B259" s="2">
        <v>45783</v>
      </c>
      <c r="C259" t="s">
        <v>67</v>
      </c>
      <c r="D259" t="s">
        <v>68</v>
      </c>
      <c r="E259" t="s">
        <v>69</v>
      </c>
      <c r="F259" t="s">
        <v>70</v>
      </c>
      <c r="G259" t="s">
        <v>71</v>
      </c>
      <c r="H259" t="s">
        <v>32</v>
      </c>
      <c r="I259" t="s">
        <v>33</v>
      </c>
      <c r="J259">
        <v>5</v>
      </c>
      <c r="K259">
        <v>331000</v>
      </c>
      <c r="L259">
        <v>0.05</v>
      </c>
      <c r="M259">
        <v>1572250</v>
      </c>
      <c r="N259" t="s">
        <v>35</v>
      </c>
      <c r="O259" t="s">
        <v>60</v>
      </c>
      <c r="P259" t="s">
        <v>61</v>
      </c>
      <c r="Q259">
        <v>5</v>
      </c>
      <c r="R259" t="s">
        <v>584</v>
      </c>
      <c r="S259" t="s">
        <v>583</v>
      </c>
    </row>
    <row r="260" spans="1:19" x14ac:dyDescent="0.3">
      <c r="A260" t="s">
        <v>293</v>
      </c>
      <c r="B260" s="2">
        <v>45685</v>
      </c>
      <c r="C260" t="s">
        <v>135</v>
      </c>
      <c r="D260" t="s">
        <v>50</v>
      </c>
      <c r="E260" t="s">
        <v>107</v>
      </c>
      <c r="F260" t="s">
        <v>108</v>
      </c>
      <c r="G260" t="s">
        <v>64</v>
      </c>
      <c r="H260" t="s">
        <v>32</v>
      </c>
      <c r="I260" t="s">
        <v>65</v>
      </c>
      <c r="J260">
        <v>14</v>
      </c>
      <c r="K260">
        <v>538000</v>
      </c>
      <c r="L260">
        <v>0.1</v>
      </c>
      <c r="M260">
        <v>6778800</v>
      </c>
      <c r="N260" t="s">
        <v>35</v>
      </c>
      <c r="O260" t="s">
        <v>46</v>
      </c>
      <c r="P260" t="s">
        <v>87</v>
      </c>
      <c r="Q260">
        <v>1</v>
      </c>
      <c r="R260" t="s">
        <v>587</v>
      </c>
      <c r="S260" t="s">
        <v>580</v>
      </c>
    </row>
    <row r="261" spans="1:19" x14ac:dyDescent="0.3">
      <c r="A261" t="s">
        <v>352</v>
      </c>
      <c r="B261" s="2">
        <v>45827</v>
      </c>
      <c r="C261" t="s">
        <v>214</v>
      </c>
      <c r="D261" t="s">
        <v>102</v>
      </c>
      <c r="E261" t="s">
        <v>19</v>
      </c>
      <c r="F261" t="s">
        <v>20</v>
      </c>
      <c r="G261" t="s">
        <v>144</v>
      </c>
      <c r="H261" t="s">
        <v>32</v>
      </c>
      <c r="I261" t="s">
        <v>44</v>
      </c>
      <c r="J261">
        <v>4</v>
      </c>
      <c r="K261">
        <v>217000</v>
      </c>
      <c r="L261">
        <v>0</v>
      </c>
      <c r="M261">
        <v>868000</v>
      </c>
      <c r="N261" t="s">
        <v>94</v>
      </c>
      <c r="O261" t="s">
        <v>25</v>
      </c>
      <c r="P261" t="s">
        <v>87</v>
      </c>
      <c r="Q261">
        <v>6</v>
      </c>
      <c r="R261" t="s">
        <v>589</v>
      </c>
      <c r="S261" t="s">
        <v>583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4.4" x14ac:dyDescent="0.3"/>
  <cols>
    <col min="1" max="1" width="33" customWidth="1"/>
    <col min="2" max="2" width="24" customWidth="1"/>
  </cols>
  <sheetData>
    <row r="1" spans="1:2" x14ac:dyDescent="0.3">
      <c r="A1" s="1" t="s">
        <v>601</v>
      </c>
      <c r="B1" s="1" t="s">
        <v>602</v>
      </c>
    </row>
    <row r="2" spans="1:2" x14ac:dyDescent="0.3">
      <c r="A2" t="s">
        <v>603</v>
      </c>
      <c r="B2">
        <v>260</v>
      </c>
    </row>
    <row r="3" spans="1:2" x14ac:dyDescent="0.3">
      <c r="A3" t="s">
        <v>604</v>
      </c>
      <c r="B3">
        <v>260</v>
      </c>
    </row>
    <row r="4" spans="1:2" x14ac:dyDescent="0.3">
      <c r="A4" t="s">
        <v>605</v>
      </c>
      <c r="B4">
        <v>217889810</v>
      </c>
    </row>
    <row r="5" spans="1:2" x14ac:dyDescent="0.3">
      <c r="A5" t="s">
        <v>606</v>
      </c>
      <c r="B5">
        <v>2122</v>
      </c>
    </row>
    <row r="6" spans="1:2" x14ac:dyDescent="0.3">
      <c r="A6" t="s">
        <v>607</v>
      </c>
      <c r="B6">
        <v>838037.73076923075</v>
      </c>
    </row>
    <row r="7" spans="1:2" x14ac:dyDescent="0.3">
      <c r="A7" t="s">
        <v>608</v>
      </c>
      <c r="B7" t="s">
        <v>82</v>
      </c>
    </row>
    <row r="8" spans="1:2" x14ac:dyDescent="0.3">
      <c r="A8" t="s">
        <v>609</v>
      </c>
      <c r="B8" t="s">
        <v>64</v>
      </c>
    </row>
    <row r="9" spans="1:2" x14ac:dyDescent="0.3">
      <c r="A9" t="s">
        <v>610</v>
      </c>
      <c r="B9" t="s">
        <v>32</v>
      </c>
    </row>
    <row r="10" spans="1:2" x14ac:dyDescent="0.3">
      <c r="A10" t="s">
        <v>611</v>
      </c>
      <c r="B10" t="s">
        <v>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defaultRowHeight="14.4" x14ac:dyDescent="0.3"/>
  <cols>
    <col min="1" max="2" width="12" customWidth="1"/>
    <col min="3" max="3" width="15" customWidth="1"/>
  </cols>
  <sheetData>
    <row r="1" spans="1:3" x14ac:dyDescent="0.3">
      <c r="A1" s="1" t="s">
        <v>574</v>
      </c>
      <c r="B1" s="1" t="s">
        <v>575</v>
      </c>
      <c r="C1" s="1" t="s">
        <v>12</v>
      </c>
    </row>
    <row r="2" spans="1:3" x14ac:dyDescent="0.3">
      <c r="A2">
        <v>1</v>
      </c>
      <c r="B2" t="s">
        <v>587</v>
      </c>
      <c r="C2">
        <v>25549460</v>
      </c>
    </row>
    <row r="3" spans="1:3" x14ac:dyDescent="0.3">
      <c r="A3">
        <v>2</v>
      </c>
      <c r="B3" t="s">
        <v>579</v>
      </c>
      <c r="C3">
        <v>2499290</v>
      </c>
    </row>
    <row r="4" spans="1:3" x14ac:dyDescent="0.3">
      <c r="A4">
        <v>3</v>
      </c>
      <c r="B4" t="s">
        <v>592</v>
      </c>
      <c r="C4">
        <v>11912950</v>
      </c>
    </row>
    <row r="5" spans="1:3" x14ac:dyDescent="0.3">
      <c r="A5">
        <v>4</v>
      </c>
      <c r="B5" t="s">
        <v>582</v>
      </c>
      <c r="C5">
        <v>31350250</v>
      </c>
    </row>
    <row r="6" spans="1:3" x14ac:dyDescent="0.3">
      <c r="A6">
        <v>5</v>
      </c>
      <c r="B6" t="s">
        <v>584</v>
      </c>
      <c r="C6">
        <v>16771150</v>
      </c>
    </row>
    <row r="7" spans="1:3" x14ac:dyDescent="0.3">
      <c r="A7">
        <v>6</v>
      </c>
      <c r="B7" t="s">
        <v>589</v>
      </c>
      <c r="C7">
        <v>41258130</v>
      </c>
    </row>
    <row r="8" spans="1:3" x14ac:dyDescent="0.3">
      <c r="A8">
        <v>7</v>
      </c>
      <c r="B8" t="s">
        <v>585</v>
      </c>
      <c r="C8">
        <v>1203890</v>
      </c>
    </row>
    <row r="9" spans="1:3" x14ac:dyDescent="0.3">
      <c r="A9">
        <v>8</v>
      </c>
      <c r="B9" t="s">
        <v>588</v>
      </c>
      <c r="C9">
        <v>-81720</v>
      </c>
    </row>
    <row r="10" spans="1:3" x14ac:dyDescent="0.3">
      <c r="A10">
        <v>9</v>
      </c>
      <c r="B10" t="s">
        <v>591</v>
      </c>
      <c r="C10">
        <v>19698490</v>
      </c>
    </row>
    <row r="11" spans="1:3" x14ac:dyDescent="0.3">
      <c r="A11">
        <v>10</v>
      </c>
      <c r="B11" t="s">
        <v>593</v>
      </c>
      <c r="C11">
        <v>14746410</v>
      </c>
    </row>
    <row r="12" spans="1:3" x14ac:dyDescent="0.3">
      <c r="A12">
        <v>11</v>
      </c>
      <c r="B12" t="s">
        <v>577</v>
      </c>
      <c r="C12">
        <v>25279510</v>
      </c>
    </row>
    <row r="13" spans="1:3" x14ac:dyDescent="0.3">
      <c r="A13">
        <v>12</v>
      </c>
      <c r="B13" t="s">
        <v>590</v>
      </c>
      <c r="C13">
        <v>27702000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4.4" x14ac:dyDescent="0.3"/>
  <cols>
    <col min="1" max="1" width="12" customWidth="1"/>
    <col min="2" max="2" width="15" customWidth="1"/>
  </cols>
  <sheetData>
    <row r="1" spans="1:2" x14ac:dyDescent="0.3">
      <c r="A1" s="1" t="s">
        <v>576</v>
      </c>
      <c r="B1" s="1" t="s">
        <v>12</v>
      </c>
    </row>
    <row r="2" spans="1:2" x14ac:dyDescent="0.3">
      <c r="A2" t="s">
        <v>580</v>
      </c>
      <c r="B2">
        <v>39961700</v>
      </c>
    </row>
    <row r="3" spans="1:2" x14ac:dyDescent="0.3">
      <c r="A3" t="s">
        <v>583</v>
      </c>
      <c r="B3">
        <v>89379530</v>
      </c>
    </row>
    <row r="4" spans="1:2" x14ac:dyDescent="0.3">
      <c r="A4" t="s">
        <v>586</v>
      </c>
      <c r="B4">
        <v>20820660</v>
      </c>
    </row>
    <row r="5" spans="1:2" x14ac:dyDescent="0.3">
      <c r="A5" t="s">
        <v>578</v>
      </c>
      <c r="B5">
        <v>67727920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/>
  </sheetViews>
  <sheetFormatPr defaultRowHeight="14.4" x14ac:dyDescent="0.3"/>
  <cols>
    <col min="1" max="1" width="29" customWidth="1"/>
    <col min="2" max="2" width="14" customWidth="1"/>
    <col min="3" max="3" width="12" customWidth="1"/>
    <col min="4" max="4" width="15" customWidth="1"/>
  </cols>
  <sheetData>
    <row r="1" spans="1:4" x14ac:dyDescent="0.3">
      <c r="A1" s="1" t="s">
        <v>2</v>
      </c>
      <c r="B1" s="1" t="s">
        <v>612</v>
      </c>
      <c r="C1" s="1" t="s">
        <v>9</v>
      </c>
      <c r="D1" s="1" t="s">
        <v>12</v>
      </c>
    </row>
    <row r="2" spans="1:4" x14ac:dyDescent="0.3">
      <c r="A2" t="s">
        <v>82</v>
      </c>
      <c r="B2">
        <v>20</v>
      </c>
      <c r="C2">
        <v>169</v>
      </c>
      <c r="D2">
        <v>28555080</v>
      </c>
    </row>
    <row r="3" spans="1:4" x14ac:dyDescent="0.3">
      <c r="A3" t="s">
        <v>154</v>
      </c>
      <c r="B3">
        <v>12</v>
      </c>
      <c r="C3">
        <v>84</v>
      </c>
      <c r="D3">
        <v>21007830</v>
      </c>
    </row>
    <row r="4" spans="1:4" x14ac:dyDescent="0.3">
      <c r="A4" t="s">
        <v>135</v>
      </c>
      <c r="B4">
        <v>12</v>
      </c>
      <c r="C4">
        <v>97</v>
      </c>
      <c r="D4">
        <v>18726250</v>
      </c>
    </row>
    <row r="5" spans="1:4" x14ac:dyDescent="0.3">
      <c r="A5" t="s">
        <v>49</v>
      </c>
      <c r="B5">
        <v>8</v>
      </c>
      <c r="C5">
        <v>72</v>
      </c>
      <c r="D5">
        <v>16083150</v>
      </c>
    </row>
    <row r="6" spans="1:4" x14ac:dyDescent="0.3">
      <c r="A6" t="s">
        <v>130</v>
      </c>
      <c r="B6">
        <v>9</v>
      </c>
      <c r="C6">
        <v>103</v>
      </c>
      <c r="D6">
        <v>15494770</v>
      </c>
    </row>
    <row r="7" spans="1:4" x14ac:dyDescent="0.3">
      <c r="A7" t="s">
        <v>190</v>
      </c>
      <c r="B7">
        <v>11</v>
      </c>
      <c r="C7">
        <v>88</v>
      </c>
      <c r="D7">
        <v>15243530</v>
      </c>
    </row>
    <row r="8" spans="1:4" x14ac:dyDescent="0.3">
      <c r="A8" t="s">
        <v>39</v>
      </c>
      <c r="B8">
        <v>15</v>
      </c>
      <c r="C8">
        <v>109</v>
      </c>
      <c r="D8">
        <v>15078790</v>
      </c>
    </row>
    <row r="9" spans="1:4" x14ac:dyDescent="0.3">
      <c r="A9" t="s">
        <v>56</v>
      </c>
      <c r="B9">
        <v>12</v>
      </c>
      <c r="C9">
        <v>113</v>
      </c>
      <c r="D9">
        <v>14590650</v>
      </c>
    </row>
    <row r="10" spans="1:4" x14ac:dyDescent="0.3">
      <c r="A10" t="s">
        <v>117</v>
      </c>
      <c r="B10">
        <v>13</v>
      </c>
      <c r="C10">
        <v>101</v>
      </c>
      <c r="D10">
        <v>11794600</v>
      </c>
    </row>
    <row r="11" spans="1:4" x14ac:dyDescent="0.3">
      <c r="A11" t="s">
        <v>28</v>
      </c>
      <c r="B11">
        <v>14</v>
      </c>
      <c r="C11">
        <v>106</v>
      </c>
      <c r="D11">
        <v>11755400</v>
      </c>
    </row>
    <row r="12" spans="1:4" x14ac:dyDescent="0.3">
      <c r="A12" t="s">
        <v>113</v>
      </c>
      <c r="B12">
        <v>20</v>
      </c>
      <c r="C12">
        <v>181</v>
      </c>
      <c r="D12">
        <v>10237120</v>
      </c>
    </row>
    <row r="13" spans="1:4" x14ac:dyDescent="0.3">
      <c r="A13" t="s">
        <v>106</v>
      </c>
      <c r="B13">
        <v>12</v>
      </c>
      <c r="C13">
        <v>70</v>
      </c>
      <c r="D13">
        <v>9143190</v>
      </c>
    </row>
    <row r="14" spans="1:4" x14ac:dyDescent="0.3">
      <c r="A14" t="s">
        <v>17</v>
      </c>
      <c r="B14">
        <v>17</v>
      </c>
      <c r="C14">
        <v>127</v>
      </c>
      <c r="D14">
        <v>8439000</v>
      </c>
    </row>
    <row r="15" spans="1:4" x14ac:dyDescent="0.3">
      <c r="A15" t="s">
        <v>287</v>
      </c>
      <c r="B15">
        <v>9</v>
      </c>
      <c r="C15">
        <v>62</v>
      </c>
      <c r="D15">
        <v>8335440</v>
      </c>
    </row>
    <row r="16" spans="1:4" x14ac:dyDescent="0.3">
      <c r="A16" t="s">
        <v>67</v>
      </c>
      <c r="B16">
        <v>13</v>
      </c>
      <c r="C16">
        <v>120</v>
      </c>
      <c r="D16">
        <v>7582230</v>
      </c>
    </row>
    <row r="17" spans="1:4" x14ac:dyDescent="0.3">
      <c r="A17" t="s">
        <v>89</v>
      </c>
      <c r="B17">
        <v>14</v>
      </c>
      <c r="C17">
        <v>119</v>
      </c>
      <c r="D17">
        <v>3891030</v>
      </c>
    </row>
    <row r="18" spans="1:4" x14ac:dyDescent="0.3">
      <c r="A18" t="s">
        <v>159</v>
      </c>
      <c r="B18">
        <v>15</v>
      </c>
      <c r="C18">
        <v>136</v>
      </c>
      <c r="D18">
        <v>2307590</v>
      </c>
    </row>
    <row r="19" spans="1:4" x14ac:dyDescent="0.3">
      <c r="A19" t="s">
        <v>214</v>
      </c>
      <c r="B19">
        <v>12</v>
      </c>
      <c r="C19">
        <v>119</v>
      </c>
      <c r="D19">
        <v>1120660</v>
      </c>
    </row>
    <row r="20" spans="1:4" x14ac:dyDescent="0.3">
      <c r="A20" t="s">
        <v>147</v>
      </c>
      <c r="B20">
        <v>11</v>
      </c>
      <c r="C20">
        <v>79</v>
      </c>
      <c r="D20">
        <v>-460390</v>
      </c>
    </row>
    <row r="21" spans="1:4" x14ac:dyDescent="0.3">
      <c r="A21" t="s">
        <v>63</v>
      </c>
      <c r="B21">
        <v>11</v>
      </c>
      <c r="C21">
        <v>67</v>
      </c>
      <c r="D21">
        <v>-1036110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9"/>
  <sheetViews>
    <sheetView workbookViewId="0"/>
  </sheetViews>
  <sheetFormatPr defaultRowHeight="14.4" x14ac:dyDescent="0.3"/>
  <cols>
    <col min="1" max="1" width="23" customWidth="1"/>
    <col min="2" max="2" width="14" customWidth="1"/>
    <col min="3" max="3" width="12" customWidth="1"/>
    <col min="4" max="4" width="15" customWidth="1"/>
  </cols>
  <sheetData>
    <row r="1" spans="1:4" x14ac:dyDescent="0.3">
      <c r="A1" s="1" t="s">
        <v>6</v>
      </c>
      <c r="B1" s="1" t="s">
        <v>612</v>
      </c>
      <c r="C1" s="1" t="s">
        <v>9</v>
      </c>
      <c r="D1" s="1" t="s">
        <v>12</v>
      </c>
    </row>
    <row r="2" spans="1:4" x14ac:dyDescent="0.3">
      <c r="A2" t="s">
        <v>64</v>
      </c>
      <c r="B2">
        <v>21</v>
      </c>
      <c r="C2">
        <v>183</v>
      </c>
      <c r="D2">
        <v>64266850</v>
      </c>
    </row>
    <row r="3" spans="1:4" x14ac:dyDescent="0.3">
      <c r="A3" t="s">
        <v>125</v>
      </c>
      <c r="B3">
        <v>18</v>
      </c>
      <c r="C3">
        <v>121</v>
      </c>
      <c r="D3">
        <v>20836600</v>
      </c>
    </row>
    <row r="4" spans="1:4" x14ac:dyDescent="0.3">
      <c r="A4" t="s">
        <v>144</v>
      </c>
      <c r="B4">
        <v>12</v>
      </c>
      <c r="C4">
        <v>136</v>
      </c>
      <c r="D4">
        <v>20195740</v>
      </c>
    </row>
    <row r="5" spans="1:4" x14ac:dyDescent="0.3">
      <c r="A5" t="s">
        <v>204</v>
      </c>
      <c r="B5">
        <v>15</v>
      </c>
      <c r="C5">
        <v>120</v>
      </c>
      <c r="D5">
        <v>17558110</v>
      </c>
    </row>
    <row r="6" spans="1:4" x14ac:dyDescent="0.3">
      <c r="A6" t="s">
        <v>57</v>
      </c>
      <c r="B6">
        <v>13</v>
      </c>
      <c r="C6">
        <v>115</v>
      </c>
      <c r="D6">
        <v>17394220</v>
      </c>
    </row>
    <row r="7" spans="1:4" x14ac:dyDescent="0.3">
      <c r="A7" t="s">
        <v>109</v>
      </c>
      <c r="B7">
        <v>17</v>
      </c>
      <c r="C7">
        <v>157</v>
      </c>
      <c r="D7">
        <v>16187950</v>
      </c>
    </row>
    <row r="8" spans="1:4" x14ac:dyDescent="0.3">
      <c r="A8" t="s">
        <v>295</v>
      </c>
      <c r="B8">
        <v>12</v>
      </c>
      <c r="C8">
        <v>86</v>
      </c>
      <c r="D8">
        <v>12221940</v>
      </c>
    </row>
    <row r="9" spans="1:4" x14ac:dyDescent="0.3">
      <c r="A9" t="s">
        <v>128</v>
      </c>
      <c r="B9">
        <v>11</v>
      </c>
      <c r="C9">
        <v>72</v>
      </c>
      <c r="D9">
        <v>11634000</v>
      </c>
    </row>
    <row r="10" spans="1:4" x14ac:dyDescent="0.3">
      <c r="A10" t="s">
        <v>71</v>
      </c>
      <c r="B10">
        <v>11</v>
      </c>
      <c r="C10">
        <v>82</v>
      </c>
      <c r="D10">
        <v>10809990</v>
      </c>
    </row>
    <row r="11" spans="1:4" x14ac:dyDescent="0.3">
      <c r="A11" t="s">
        <v>341</v>
      </c>
      <c r="B11">
        <v>14</v>
      </c>
      <c r="C11">
        <v>89</v>
      </c>
      <c r="D11">
        <v>6124610</v>
      </c>
    </row>
    <row r="12" spans="1:4" x14ac:dyDescent="0.3">
      <c r="A12" t="s">
        <v>208</v>
      </c>
      <c r="B12">
        <v>15</v>
      </c>
      <c r="C12">
        <v>120</v>
      </c>
      <c r="D12">
        <v>5303060</v>
      </c>
    </row>
    <row r="13" spans="1:4" x14ac:dyDescent="0.3">
      <c r="A13" t="s">
        <v>178</v>
      </c>
      <c r="B13">
        <v>19</v>
      </c>
      <c r="C13">
        <v>133</v>
      </c>
      <c r="D13">
        <v>4185240</v>
      </c>
    </row>
    <row r="14" spans="1:4" x14ac:dyDescent="0.3">
      <c r="A14" t="s">
        <v>74</v>
      </c>
      <c r="B14">
        <v>13</v>
      </c>
      <c r="C14">
        <v>135</v>
      </c>
      <c r="D14">
        <v>3617160</v>
      </c>
    </row>
    <row r="15" spans="1:4" x14ac:dyDescent="0.3">
      <c r="A15" t="s">
        <v>169</v>
      </c>
      <c r="B15">
        <v>14</v>
      </c>
      <c r="C15">
        <v>118</v>
      </c>
      <c r="D15">
        <v>2972900</v>
      </c>
    </row>
    <row r="16" spans="1:4" x14ac:dyDescent="0.3">
      <c r="A16" t="s">
        <v>137</v>
      </c>
      <c r="B16">
        <v>18</v>
      </c>
      <c r="C16">
        <v>164</v>
      </c>
      <c r="D16">
        <v>2801600</v>
      </c>
    </row>
    <row r="17" spans="1:4" x14ac:dyDescent="0.3">
      <c r="A17" t="s">
        <v>21</v>
      </c>
      <c r="B17">
        <v>12</v>
      </c>
      <c r="C17">
        <v>102</v>
      </c>
      <c r="D17">
        <v>1005620</v>
      </c>
    </row>
    <row r="18" spans="1:4" x14ac:dyDescent="0.3">
      <c r="A18" t="s">
        <v>235</v>
      </c>
      <c r="B18">
        <v>14</v>
      </c>
      <c r="C18">
        <v>117</v>
      </c>
      <c r="D18">
        <v>820340</v>
      </c>
    </row>
    <row r="19" spans="1:4" x14ac:dyDescent="0.3">
      <c r="A19" t="s">
        <v>160</v>
      </c>
      <c r="B19">
        <v>11</v>
      </c>
      <c r="C19">
        <v>72</v>
      </c>
      <c r="D19">
        <v>-46120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/>
  </sheetViews>
  <sheetFormatPr defaultRowHeight="14.4" x14ac:dyDescent="0.3"/>
  <cols>
    <col min="1" max="1" width="13" customWidth="1"/>
    <col min="2" max="2" width="14" customWidth="1"/>
    <col min="3" max="3" width="12" customWidth="1"/>
    <col min="4" max="4" width="15" customWidth="1"/>
  </cols>
  <sheetData>
    <row r="1" spans="1:4" x14ac:dyDescent="0.3">
      <c r="A1" s="1" t="s">
        <v>7</v>
      </c>
      <c r="B1" s="1" t="s">
        <v>612</v>
      </c>
      <c r="C1" s="1" t="s">
        <v>9</v>
      </c>
      <c r="D1" s="1" t="s">
        <v>12</v>
      </c>
    </row>
    <row r="2" spans="1:4" x14ac:dyDescent="0.3">
      <c r="A2" t="s">
        <v>32</v>
      </c>
      <c r="B2">
        <v>117</v>
      </c>
      <c r="C2">
        <v>1015</v>
      </c>
      <c r="D2">
        <v>165530450</v>
      </c>
    </row>
    <row r="3" spans="1:4" x14ac:dyDescent="0.3">
      <c r="A3" t="s">
        <v>101</v>
      </c>
      <c r="B3">
        <v>62</v>
      </c>
      <c r="C3">
        <v>459</v>
      </c>
      <c r="D3">
        <v>28688300</v>
      </c>
    </row>
    <row r="4" spans="1:4" x14ac:dyDescent="0.3">
      <c r="A4" t="s">
        <v>22</v>
      </c>
      <c r="B4">
        <v>48</v>
      </c>
      <c r="C4">
        <v>364</v>
      </c>
      <c r="D4">
        <v>15566400</v>
      </c>
    </row>
    <row r="5" spans="1:4" x14ac:dyDescent="0.3">
      <c r="A5" t="s">
        <v>209</v>
      </c>
      <c r="B5">
        <v>15</v>
      </c>
      <c r="C5">
        <v>120</v>
      </c>
      <c r="D5">
        <v>5303060</v>
      </c>
    </row>
    <row r="6" spans="1:4" x14ac:dyDescent="0.3">
      <c r="A6" t="s">
        <v>138</v>
      </c>
      <c r="B6">
        <v>18</v>
      </c>
      <c r="C6">
        <v>164</v>
      </c>
      <c r="D6">
        <v>2801600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"/>
  <sheetViews>
    <sheetView workbookViewId="0"/>
  </sheetViews>
  <sheetFormatPr defaultRowHeight="14.4" x14ac:dyDescent="0.3"/>
  <cols>
    <col min="1" max="1" width="17" customWidth="1"/>
    <col min="2" max="2" width="14" customWidth="1"/>
    <col min="3" max="3" width="12" customWidth="1"/>
    <col min="4" max="4" width="15" customWidth="1"/>
  </cols>
  <sheetData>
    <row r="1" spans="1:4" x14ac:dyDescent="0.3">
      <c r="A1" s="1" t="s">
        <v>14</v>
      </c>
      <c r="B1" s="1" t="s">
        <v>612</v>
      </c>
      <c r="C1" s="1" t="s">
        <v>9</v>
      </c>
      <c r="D1" s="1" t="s">
        <v>12</v>
      </c>
    </row>
    <row r="2" spans="1:4" x14ac:dyDescent="0.3">
      <c r="A2" t="s">
        <v>46</v>
      </c>
      <c r="B2">
        <v>36</v>
      </c>
      <c r="C2">
        <v>310</v>
      </c>
      <c r="D2">
        <v>44881820</v>
      </c>
    </row>
    <row r="3" spans="1:4" x14ac:dyDescent="0.3">
      <c r="A3" t="s">
        <v>25</v>
      </c>
      <c r="B3">
        <v>39</v>
      </c>
      <c r="C3">
        <v>298</v>
      </c>
      <c r="D3">
        <v>39775190</v>
      </c>
    </row>
    <row r="4" spans="1:4" x14ac:dyDescent="0.3">
      <c r="A4" t="s">
        <v>60</v>
      </c>
      <c r="B4">
        <v>42</v>
      </c>
      <c r="C4">
        <v>359</v>
      </c>
      <c r="D4">
        <v>34059040</v>
      </c>
    </row>
    <row r="5" spans="1:4" x14ac:dyDescent="0.3">
      <c r="A5" t="s">
        <v>75</v>
      </c>
      <c r="B5">
        <v>21</v>
      </c>
      <c r="C5">
        <v>194</v>
      </c>
      <c r="D5">
        <v>32028330</v>
      </c>
    </row>
    <row r="6" spans="1:4" x14ac:dyDescent="0.3">
      <c r="A6" t="s">
        <v>95</v>
      </c>
      <c r="B6">
        <v>33</v>
      </c>
      <c r="C6">
        <v>299</v>
      </c>
      <c r="D6">
        <v>26973350</v>
      </c>
    </row>
    <row r="7" spans="1:4" x14ac:dyDescent="0.3">
      <c r="A7" t="s">
        <v>36</v>
      </c>
      <c r="B7">
        <v>30</v>
      </c>
      <c r="C7">
        <v>200</v>
      </c>
      <c r="D7">
        <v>24768590</v>
      </c>
    </row>
    <row r="8" spans="1:4" x14ac:dyDescent="0.3">
      <c r="A8" t="s">
        <v>145</v>
      </c>
      <c r="B8">
        <v>33</v>
      </c>
      <c r="C8">
        <v>238</v>
      </c>
      <c r="D8">
        <v>19745690</v>
      </c>
    </row>
    <row r="9" spans="1:4" x14ac:dyDescent="0.3">
      <c r="A9" t="s">
        <v>175</v>
      </c>
      <c r="B9">
        <v>26</v>
      </c>
      <c r="C9">
        <v>224</v>
      </c>
      <c r="D9">
        <v>-4342200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/>
  </sheetViews>
  <sheetFormatPr defaultRowHeight="14.4" x14ac:dyDescent="0.3"/>
  <cols>
    <col min="1" max="1" width="12" customWidth="1"/>
    <col min="2" max="2" width="14" customWidth="1"/>
    <col min="3" max="3" width="12" customWidth="1"/>
    <col min="4" max="4" width="15" customWidth="1"/>
  </cols>
  <sheetData>
    <row r="1" spans="1:4" x14ac:dyDescent="0.3">
      <c r="A1" s="1" t="s">
        <v>5</v>
      </c>
      <c r="B1" s="1" t="s">
        <v>612</v>
      </c>
      <c r="C1" s="1" t="s">
        <v>9</v>
      </c>
      <c r="D1" s="1" t="s">
        <v>12</v>
      </c>
    </row>
    <row r="2" spans="1:4" x14ac:dyDescent="0.3">
      <c r="A2" t="s">
        <v>20</v>
      </c>
      <c r="B2">
        <v>95</v>
      </c>
      <c r="C2">
        <v>792</v>
      </c>
      <c r="D2">
        <v>86127280</v>
      </c>
    </row>
    <row r="3" spans="1:4" x14ac:dyDescent="0.3">
      <c r="A3" t="s">
        <v>42</v>
      </c>
      <c r="B3">
        <v>49</v>
      </c>
      <c r="C3">
        <v>377</v>
      </c>
      <c r="D3">
        <v>43876860</v>
      </c>
    </row>
    <row r="4" spans="1:4" x14ac:dyDescent="0.3">
      <c r="A4" t="s">
        <v>114</v>
      </c>
      <c r="B4">
        <v>55</v>
      </c>
      <c r="C4">
        <v>486</v>
      </c>
      <c r="D4">
        <v>41099790</v>
      </c>
    </row>
    <row r="5" spans="1:4" x14ac:dyDescent="0.3">
      <c r="A5" t="s">
        <v>108</v>
      </c>
      <c r="B5">
        <v>24</v>
      </c>
      <c r="C5">
        <v>167</v>
      </c>
      <c r="D5">
        <v>27869440</v>
      </c>
    </row>
    <row r="6" spans="1:4" x14ac:dyDescent="0.3">
      <c r="A6" t="s">
        <v>225</v>
      </c>
      <c r="B6">
        <v>13</v>
      </c>
      <c r="C6">
        <v>101</v>
      </c>
      <c r="D6">
        <v>11794600</v>
      </c>
    </row>
    <row r="7" spans="1:4" x14ac:dyDescent="0.3">
      <c r="A7" t="s">
        <v>70</v>
      </c>
      <c r="B7">
        <v>13</v>
      </c>
      <c r="C7">
        <v>120</v>
      </c>
      <c r="D7">
        <v>7582230</v>
      </c>
    </row>
    <row r="8" spans="1:4" x14ac:dyDescent="0.3">
      <c r="A8" t="s">
        <v>149</v>
      </c>
      <c r="B8">
        <v>11</v>
      </c>
      <c r="C8">
        <v>79</v>
      </c>
      <c r="D8">
        <v>-460390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RAW_DATA_DO_NOT_EDIT</vt:lpstr>
      <vt:lpstr>Detail2</vt:lpstr>
      <vt:lpstr>PIVOT TABLE</vt:lpstr>
      <vt:lpstr>CLEANED DATASET</vt:lpstr>
      <vt:lpstr>QUESTIONS</vt:lpstr>
      <vt:lpstr>DATA_DICTIONARY</vt:lpstr>
      <vt:lpstr>ANSWER_KEY_HIDDEN</vt:lpstr>
      <vt:lpstr>ANSWER_SUMMARY_HIDDEN</vt:lpstr>
      <vt:lpstr>ANSWER_MONTHLY_HIDDEN</vt:lpstr>
      <vt:lpstr>ANSWER_QUARTERLY_HIDDEN</vt:lpstr>
      <vt:lpstr>ANSWER_CUSTOMERS_HIDDEN</vt:lpstr>
      <vt:lpstr>ANSWER_PRODUCTS_HIDDEN</vt:lpstr>
      <vt:lpstr>ANSWER_CATEGORIES_HIDDEN</vt:lpstr>
      <vt:lpstr>ANSWER_SALESPEOPLE_HIDDEN</vt:lpstr>
      <vt:lpstr>ANSWER_STATES_HIDDEN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Azodo</cp:lastModifiedBy>
  <dcterms:created xsi:type="dcterms:W3CDTF">2026-09-28T16:53:57Z</dcterms:created>
  <dcterms:modified xsi:type="dcterms:W3CDTF">2026-09-29T08:42:46Z</dcterms:modified>
</cp:coreProperties>
</file>